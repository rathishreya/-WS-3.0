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 Use cases" sheetId="2" state="visible" r:id="rId4"/>
    <sheet name="2 · Component comparison" sheetId="3" state="visible" r:id="rId5"/>
    <sheet name="3 · Screens x surfaces" sheetId="4" state="visible" r:id="rId6"/>
    <sheet name="4 · Rules that bind" sheetId="5" state="visible" r:id="rId7"/>
    <sheet name="5 · Honest gaps" sheetId="6" state="visible" r:id="rId8"/>
    <sheet name="6 · Summary" sheetId="7" state="visible" r:id="rId9"/>
  </sheets>
  <definedNames>
    <definedName function="false" hidden="true" localSheetId="1" name="_xlnm._FilterDatabase" vbProcedure="false">'1 · Use cases'!$A$2:$K$114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<sst xmlns="http://schemas.openxmlformats.org/spreadsheetml/2006/main" count="1901" uniqueCount="1039">
  <si>
    <t xml:space="preserve">WS 3.0 — EVERY USE CASE, AND WHY CHAT-FIRST BEATS WS 2.0</t>
  </si>
  <si>
    <t xml:space="preserve">What this is</t>
  </si>
  <si>
    <t xml:space="preserve">The claim</t>
  </si>
  <si>
    <t xml:space="preserve">WS 3.0 is a rebuild of the EZ workspace as three chat-first apps — client, expert, SWAT — on the Conversation OS shell described in the framework/surfaces vision doc. This workbook lists every use case the product has to serve, says where each one lives in our UI, names the WS 2.0 equivalent, and rules on which is better.</t>
  </si>
  <si>
    <t xml:space="preserve">The comparison</t>
  </si>
  <si>
    <t xml:space="preserve">WS 2.0 is the shipped product. It is a table-and-modal application: a Live Requests table, a detail pane, a Gantt, and a modal per action. It is not a strawman — 10 of the 112 use cases below are marked 'WS 2.0 better' and a whole tab is given to the gaps we have not closed.</t>
  </si>
  <si>
    <t xml:space="preserve">Who it is for</t>
  </si>
  <si>
    <t xml:space="preserve">Anyone assessing whether chat-first is the right shape for this product. It is written to be checked, not to be believed — every claim carries a source and every weakness is stated rather than left to be found.</t>
  </si>
  <si>
    <t xml:space="preserve">How to read it</t>
  </si>
  <si>
    <t xml:space="preserve">1 · Use cases</t>
  </si>
  <si>
    <t xml:space="preserve">THE MAIN SHEET. All 112 use cases across the whole project. For each: the actor, the PRD stage it belongs to, why it exists at all, the surface and component that serves it in our build, how it opens, the WS 2.0 equivalent, a verdict, and whether it is built in the prototype.</t>
  </si>
  <si>
    <t xml:space="preserve">2 · Component comparison</t>
  </si>
  <si>
    <t xml:space="preserve">30 UI components side by side. WS 2.0's treatment, ours, which surface ours sits on, WHY it sits there, why it is better — and a column that names where WS 2.0 still wins. Every row has that last column filled in honestly, and 10 of the 30 concede a point.</t>
  </si>
  <si>
    <t xml:space="preserve">3 · Screens × surfaces</t>
  </si>
  <si>
    <t xml:space="preserve">19 screens mapped onto Framework B's six surfaces (B1–B6) in the vision doc's own format, so the mapping can be checked against the source rather than taken on trust.</t>
  </si>
  <si>
    <t xml:space="preserve">4 · Rules that bind</t>
  </si>
  <si>
    <t xml:space="preserve">The 18 invariants any UI here must honour, each traced to the PRD clause or SOP it comes from. If a design decision on tab 1 or 2 looks arbitrary, it is usually one of these.</t>
  </si>
  <si>
    <t xml:space="preserve">5 · Honest gaps</t>
  </si>
  <si>
    <t xml:space="preserve">15 places where we are behind, where both products are behind, or where our own build has a known bug. Includes a live tension between chat-first and the PRD's own 'ambient AI, not a chatbot' rule.</t>
  </si>
  <si>
    <t xml:space="preserve">6 · Summary</t>
  </si>
  <si>
    <t xml:space="preserve">Counts, computed with formulas over tab 1 so they move if a verdict is edited. Change a verdict on tab 1 and this tab follows.</t>
  </si>
  <si>
    <t xml:space="preserve">The verdict scale</t>
  </si>
  <si>
    <t xml:space="preserve">Better · new</t>
  </si>
  <si>
    <t xml:space="preserve">The use case has no WS 2.0 equivalent at all, and chat-first is what made it cheap to add. 42 of 112.</t>
  </si>
  <si>
    <t xml:space="preserve">Better</t>
  </si>
  <si>
    <t xml:space="preserve">Both products serve it; ours takes fewer steps, states more, or removes a class of error. 25 of 112.</t>
  </si>
  <si>
    <t xml:space="preserve">Parity</t>
  </si>
  <si>
    <t xml:space="preserve">Genuinely equivalent. Different shape, same outcome and roughly the same effort. 21 of 112.</t>
  </si>
  <si>
    <t xml:space="preserve">WS 2.0 better</t>
  </si>
  <si>
    <t xml:space="preserve">They do it better than we do, today. 10 of 112 — listed rather than argued away.</t>
  </si>
  <si>
    <t xml:space="preserve">Gap on both</t>
  </si>
  <si>
    <t xml:space="preserve">Neither product serves it. 9 of 112. These are the roadmap, not a scoring dispute.</t>
  </si>
  <si>
    <t xml:space="preserve">Out of scope</t>
  </si>
  <si>
    <t xml:space="preserve">Belongs to WS admin or platform, not to any of the three apps. 5 of 112.</t>
  </si>
  <si>
    <t xml:space="preserve">The argument in five lines</t>
  </si>
  <si>
    <t xml:space="preserve">1. The room is the ground</t>
  </si>
  <si>
    <t xml:space="preserve">The vision doc's Framework B: conversation is the ground; structure is summoned as spaces over it. Every node of the work graph — request, assignment, activity — is a room. Navigation and structure become the same object, so there is nothing to keep in sync.</t>
  </si>
  <si>
    <t xml:space="preserve">2. Decisions live where the context is</t>
  </si>
  <si>
    <t xml:space="preserve">In WS 2.0 you read state in a pane and act in a modal. Here the card that tells you carries the buttons that resolve it. That is one gesture instead of three, and it is why the same shell serves a client approving a price and an expert accepting an offer.</t>
  </si>
  <si>
    <t xml:space="preserve">3. The exception is the row</t>
  </si>
  <si>
    <t xml:space="preserve">Our lists say 'Tariq silent 4h — SOP-15 says offer onward', not 'Delayed'. A table of equal-weight rows makes you open things to triage; a list of stated exceptions lets you triage without opening anything.</t>
  </si>
  <si>
    <t xml:space="preserve">4. One commercial trigger</t>
  </si>
  <si>
    <t xml:space="preserve">Verify — and only verify — bills the client and pays the performer. WS 2.0 invoices on completion, which is the defect the PRD calls D4. This is a model change the UI simply expresses.</t>
  </si>
  <si>
    <t xml:space="preserve">5. It cost less to add the missing half</t>
  </si>
  <si>
    <t xml:space="preserve">Retainers, wallets, disputes, budget pace, private peer channels, an archive: 42 use cases with no WS 2.0 equivalent, most of them a card and a form rather than a screen. That is the real dividend of chat-first — the marginal cost of a new use case.</t>
  </si>
  <si>
    <t xml:space="preserve">Sources</t>
  </si>
  <si>
    <t xml:space="preserve">Vision</t>
  </si>
  <si>
    <t xml:space="preserve">docs/reference/WS3-framework-surfaces-vision.pdf — Framework B · Conversation OS, surfaces B1–B6, and the ground/summoned distinction. Framework A · Structured Cockpit is the documented alternative; B is what we built.</t>
  </si>
  <si>
    <t xml:space="preserve">PRD</t>
  </si>
  <si>
    <t xml:space="preserve">docs/tenant-zero/spec.md — lifecycle stages E1–E15, the Request → Assignment → Activity work graph, and the FR-numbered rules cited on tab 4.</t>
  </si>
  <si>
    <t xml:space="preserve">WS 2.0</t>
  </si>
  <si>
    <t xml:space="preserve">14 screenshots of the shipped product shared in this project: Live Requests, request detail, Create New Request, Edit Request, Gantt, Flowchart, Create Activity, Delivery, Feedback, Collaborators, Splitter, Edit Log, Client rating, Tools.</t>
  </si>
  <si>
    <t xml:space="preserve">The build</t>
  </si>
  <si>
    <t xml:space="preserve">design/ws3-client-chat.html · design/ws3-expert-chat.html · design/ws3-swat-chat.html — the three prototypes the 'Built?' column refers to.</t>
  </si>
  <si>
    <t xml:space="preserve">How to challenge this</t>
  </si>
  <si>
    <t xml:space="preserve">Attack the verdicts</t>
  </si>
  <si>
    <t xml:space="preserve">Tab 1 column J. Every one is a judgement. If 'Better' should be 'Parity' on a row, change it — tab 6 recomputes.</t>
  </si>
  <si>
    <t xml:space="preserve">Attack the placement</t>
  </si>
  <si>
    <t xml:space="preserve">Tab 2 column E is the reason a component sits on the surface it does. If the reason does not follow from the vision doc, the placement is wrong.</t>
  </si>
  <si>
    <t xml:space="preserve">Attack the coverage</t>
  </si>
  <si>
    <t xml:space="preserve">112 use cases is a claim of completeness. The fastest disproof is a job one of these three actors does that appears nowhere on tab 1.</t>
  </si>
  <si>
    <t xml:space="preserve">What we already concede</t>
  </si>
  <si>
    <t xml:space="preserve">Scanning at volume, bulk operations, the Gantt, lifecycle states, allocation UI, agent discoverability. All on tab 5, none of them dressed up.</t>
  </si>
  <si>
    <t xml:space="preserve">EVERY USE CASE IN THE PROJECT   ·   112 rows   ·   client, expert, SWAT, admin</t>
  </si>
  <si>
    <t xml:space="preserve">#</t>
  </si>
  <si>
    <t xml:space="preserve">Actor</t>
  </si>
  <si>
    <t xml:space="preserve">PRD stage</t>
  </si>
  <si>
    <t xml:space="preserve">Use case</t>
  </si>
  <si>
    <t xml:space="preserve">Why it exists</t>
  </si>
  <si>
    <t xml:space="preserve">Our surface</t>
  </si>
  <si>
    <t xml:space="preserve">Our component</t>
  </si>
  <si>
    <t xml:space="preserve">How it opens</t>
  </si>
  <si>
    <t xml:space="preserve">WS 2.0 equivalent</t>
  </si>
  <si>
    <t xml:space="preserve">Verdict</t>
  </si>
  <si>
    <t xml:space="preserve">Built?</t>
  </si>
  <si>
    <t xml:space="preserve">CL-01</t>
  </si>
  <si>
    <t xml:space="preserve">Client</t>
  </si>
  <si>
    <t xml:space="preserve">E5 Intake</t>
  </si>
  <si>
    <t xml:space="preserve">Raise a request in their own words</t>
  </si>
  <si>
    <t xml:space="preserve">The brief is a sentence, not a form. Making them classify it first is the tax WS 2.0 charged.</t>
  </si>
  <si>
    <t xml:space="preserve">B5 prompt</t>
  </si>
  <si>
    <t xml:space="preserve">Composer + ambient mapping</t>
  </si>
  <si>
    <t xml:space="preserve">Inline</t>
  </si>
  <si>
    <t xml:space="preserve">Create New Request modal: Deliver to, CC, Instructions, Files, Delivery, Entity, Charge code, Project, Send to</t>
  </si>
  <si>
    <t xml:space="preserve">Yes</t>
  </si>
  <si>
    <t xml:space="preserve">CL-02</t>
  </si>
  <si>
    <t xml:space="preserve">Attach input files and reference files separately</t>
  </si>
  <si>
    <t xml:space="preserve">Input is what gets worked on; reference is context. Conflating them corrupts the unit count.</t>
  </si>
  <si>
    <t xml:space="preserve">B3 spaces</t>
  </si>
  <si>
    <t xml:space="preserve">Files space — three shelves</t>
  </si>
  <si>
    <t xml:space="preserve">Top drawer</t>
  </si>
  <si>
    <t xml:space="preserve">Two drop zones on the modal</t>
  </si>
  <si>
    <t xml:space="preserve">CL-03</t>
  </si>
  <si>
    <t xml:space="preserve">Set the deadline they actually need</t>
  </si>
  <si>
    <t xml:space="preserve">A date given late is worse than a date refused early.</t>
  </si>
  <si>
    <t xml:space="preserve">Date chip on the intake card</t>
  </si>
  <si>
    <t xml:space="preserve">Requested Delivery field + repeat selector</t>
  </si>
  <si>
    <t xml:space="preserve">CL-04</t>
  </si>
  <si>
    <t xml:space="preserve">Charge the work to the right entity and cost centre</t>
  </si>
  <si>
    <t xml:space="preserve">Finance reconciles by charge code; getting it wrong means a re-issue.</t>
  </si>
  <si>
    <t xml:space="preserve">Resolved from account config, shown on the plan card</t>
  </si>
  <si>
    <t xml:space="preserve">Entity + Charge Code dropdowns on the request form</t>
  </si>
  <si>
    <t xml:space="preserve">Partial</t>
  </si>
  <si>
    <t xml:space="preserve">CL-05</t>
  </si>
  <si>
    <t xml:space="preserve">Send the same brief from email or a connected tool</t>
  </si>
  <si>
    <t xml:space="preserve">Most briefs never touch our UI. Intake has to meet them where they are.</t>
  </si>
  <si>
    <t xml:space="preserve">B4 conversation</t>
  </si>
  <si>
    <t xml:space="preserve">Request appears as a room, source noted</t>
  </si>
  <si>
    <t xml:space="preserve">Email adapter, Phrase adapter</t>
  </si>
  <si>
    <t xml:space="preserve">Simulated</t>
  </si>
  <si>
    <t xml:space="preserve">CL-06</t>
  </si>
  <si>
    <t xml:space="preserve">Reuse a request that worked before</t>
  </si>
  <si>
    <t xml:space="preserve">Repeat work is most work. Re-typing it is waste.</t>
  </si>
  <si>
    <t xml:space="preserve">Templates in the Library drawer</t>
  </si>
  <si>
    <t xml:space="preserve">Side drawer</t>
  </si>
  <si>
    <t xml:space="preserve">Duplicate on the request menu</t>
  </si>
  <si>
    <t xml:space="preserve">No</t>
  </si>
  <si>
    <t xml:space="preserve">CL-07</t>
  </si>
  <si>
    <t xml:space="preserve">E7 Ratify</t>
  </si>
  <si>
    <t xml:space="preserve">See the plan, the price and the date before anything runs</t>
  </si>
  <si>
    <t xml:space="preserve">This is the authorisation. It has to be complete and unambiguous.</t>
  </si>
  <si>
    <t xml:space="preserve">Scope &amp; price sheet</t>
  </si>
  <si>
    <t xml:space="preserve">Assignment rows on the Gantt, price not shown to client</t>
  </si>
  <si>
    <t xml:space="preserve">CL-08</t>
  </si>
  <si>
    <t xml:space="preserve">Approve scope in one action</t>
  </si>
  <si>
    <t xml:space="preserve">Human touchpoint 1 of 2. Everything else is pushed, not pulled.</t>
  </si>
  <si>
    <t xml:space="preserve">Decision card with Approve on it</t>
  </si>
  <si>
    <t xml:space="preserve">Confirm on a modal</t>
  </si>
  <si>
    <t xml:space="preserve">CL-09</t>
  </si>
  <si>
    <t xml:space="preserve">Adjust the scope before approving</t>
  </si>
  <si>
    <t xml:space="preserve">A plan you cannot edit is a plan you reject.</t>
  </si>
  <si>
    <t xml:space="preserve">Inline edit on the scope sheet</t>
  </si>
  <si>
    <t xml:space="preserve">Edit Request modal</t>
  </si>
  <si>
    <t xml:space="preserve">CL-10</t>
  </si>
  <si>
    <t xml:space="preserve">E9 Execution</t>
  </si>
  <si>
    <t xml:space="preserve">See progress without asking anyone</t>
  </si>
  <si>
    <t xml:space="preserve">The status-chasing email is the single most common client behaviour. Kill the cause.</t>
  </si>
  <si>
    <t xml:space="preserve">B2 list + B3 spaces</t>
  </si>
  <si>
    <t xml:space="preserve">Per-request roll-up, per-file progress</t>
  </si>
  <si>
    <t xml:space="preserve">Progress % column and per-assignment bars</t>
  </si>
  <si>
    <t xml:space="preserve">CL-11</t>
  </si>
  <si>
    <t xml:space="preserve">Receive an interim draft</t>
  </si>
  <si>
    <t xml:space="preserve">Seeing it early is how a wrong direction gets caught cheaply.</t>
  </si>
  <si>
    <t xml:space="preserve">Interim event, border-safe and watermarked</t>
  </si>
  <si>
    <t xml:space="preserve">Delivery panel versions</t>
  </si>
  <si>
    <t xml:space="preserve">CL-12</t>
  </si>
  <si>
    <t xml:space="preserve">Be told early when a date is at risk</t>
  </si>
  <si>
    <t xml:space="preserve">Being told at the breach is worse than not being told.</t>
  </si>
  <si>
    <t xml:space="preserve">B6 ambient AI</t>
  </si>
  <si>
    <t xml:space="preserve">Scoped alert bar + awareness note</t>
  </si>
  <si>
    <t xml:space="preserve">Status badge changes to Delayed</t>
  </si>
  <si>
    <t xml:space="preserve">CL-13</t>
  </si>
  <si>
    <t xml:space="preserve">Ask a question about their own request</t>
  </si>
  <si>
    <t xml:space="preserve">Questions are the commonest interaction and deserve the shortest path.</t>
  </si>
  <si>
    <t xml:space="preserve">Composer scoped to the request</t>
  </si>
  <si>
    <t xml:space="preserve">Chats panel per request</t>
  </si>
  <si>
    <t xml:space="preserve">CL-14</t>
  </si>
  <si>
    <t xml:space="preserve">E10 Delivery</t>
  </si>
  <si>
    <t xml:space="preserve">Receive the deliverable into their own store</t>
  </si>
  <si>
    <t xml:space="preserve">Files are pointers; the bytes are their property.</t>
  </si>
  <si>
    <t xml:space="preserve">Deliverables space with download and links</t>
  </si>
  <si>
    <t xml:space="preserve">Deliveries panel, Download All, share link</t>
  </si>
  <si>
    <t xml:space="preserve">CL-15</t>
  </si>
  <si>
    <t xml:space="preserve">Verify and accept the delivery</t>
  </si>
  <si>
    <t xml:space="preserve">Human touchpoint 2 of 2, and the billing gate.</t>
  </si>
  <si>
    <t xml:space="preserve">Verify card with the files on it</t>
  </si>
  <si>
    <t xml:space="preserve">Feedback modal after delivery</t>
  </si>
  <si>
    <t xml:space="preserve">CL-16</t>
  </si>
  <si>
    <t xml:space="preserve">Flag an issue without accepting</t>
  </si>
  <si>
    <t xml:space="preserve">Accepting to be polite then complaining later is the worst outcome for both sides.</t>
  </si>
  <si>
    <t xml:space="preserve">Issue form on the delivery card</t>
  </si>
  <si>
    <t xml:space="preserve">Not seen in WS 2.0</t>
  </si>
  <si>
    <t xml:space="preserve">CL-17</t>
  </si>
  <si>
    <t xml:space="preserve">Request a revision, and know if it is free</t>
  </si>
  <si>
    <t xml:space="preserve">Fix versus new scope is the commonest commercial argument. State it up front.</t>
  </si>
  <si>
    <t xml:space="preserve">Revision card that names free vs priced</t>
  </si>
  <si>
    <t xml:space="preserve">Not seen</t>
  </si>
  <si>
    <t xml:space="preserve">CL-18</t>
  </si>
  <si>
    <t xml:space="preserve">Rate the delivery and say why</t>
  </si>
  <si>
    <t xml:space="preserve">Feedback that never reaches the performer is theatre.</t>
  </si>
  <si>
    <t xml:space="preserve">Stars + comment on the verify card</t>
  </si>
  <si>
    <t xml:space="preserve">Feedback modal: Rating + Comments</t>
  </si>
  <si>
    <t xml:space="preserve">CL-19</t>
  </si>
  <si>
    <t xml:space="preserve">E11 Money</t>
  </si>
  <si>
    <t xml:space="preserve">See every delivery and what it cost</t>
  </si>
  <si>
    <t xml:space="preserve">One place that answers 'what have we spent'.</t>
  </si>
  <si>
    <t xml:space="preserve">B2 list (Money)</t>
  </si>
  <si>
    <t xml:space="preserve">Work history table</t>
  </si>
  <si>
    <t xml:space="preserve">Full pane</t>
  </si>
  <si>
    <t xml:space="preserve">Not seen client-side</t>
  </si>
  <si>
    <t xml:space="preserve">CL-20</t>
  </si>
  <si>
    <t xml:space="preserve">Pay an invoice</t>
  </si>
  <si>
    <t xml:space="preserve">Settling should not require leaving the thread.</t>
  </si>
  <si>
    <t xml:space="preserve">Pay action on the overdue card</t>
  </si>
  <si>
    <t xml:space="preserve">CL-21</t>
  </si>
  <si>
    <t xml:space="preserve">Understand prepaid credits versus terms</t>
  </si>
  <si>
    <t xml:space="preserve">Two payment mechanics shown without explanation reads as double billing.</t>
  </si>
  <si>
    <t xml:space="preserve">Wallet card stating hold, draw-down and refund</t>
  </si>
  <si>
    <t xml:space="preserve">CL-22</t>
  </si>
  <si>
    <t xml:space="preserve">See the month close and export it</t>
  </si>
  <si>
    <t xml:space="preserve">Finance needs a statement, not a screen.</t>
  </si>
  <si>
    <t xml:space="preserve">Statements card, PDF and CSV per month</t>
  </si>
  <si>
    <t xml:space="preserve">CL-23</t>
  </si>
  <si>
    <t xml:space="preserve">Watch spend against budget</t>
  </si>
  <si>
    <t xml:space="preserve">The question is always 'are we going to overspend', not 'what did we spend'.</t>
  </si>
  <si>
    <t xml:space="preserve">Tracker with pace-to-close projection</t>
  </si>
  <si>
    <t xml:space="preserve">CL-24</t>
  </si>
  <si>
    <t xml:space="preserve">Dispute a line on an invoice</t>
  </si>
  <si>
    <t xml:space="preserve">A dispute must not stop the work or claw back a performer's pay.</t>
  </si>
  <si>
    <t xml:space="preserve">Dispute action on the invoice row</t>
  </si>
  <si>
    <t xml:space="preserve">CL-25</t>
  </si>
  <si>
    <t xml:space="preserve">E12 Retainer</t>
  </si>
  <si>
    <t xml:space="preserve">See period usage against the commitment</t>
  </si>
  <si>
    <t xml:space="preserve">A retainer with invisible usage is a retainer that gets cancelled.</t>
  </si>
  <si>
    <t xml:space="preserve">B2 list + B4</t>
  </si>
  <si>
    <t xml:space="preserve">Retainer room with hours used</t>
  </si>
  <si>
    <t xml:space="preserve">CL-26</t>
  </si>
  <si>
    <t xml:space="preserve">Verify a closed period</t>
  </si>
  <si>
    <t xml:space="preserve">The period is the billable unit; it needs the same gate as a delivery.</t>
  </si>
  <si>
    <t xml:space="preserve">Period close card, one tap</t>
  </si>
  <si>
    <t xml:space="preserve">CL-27</t>
  </si>
  <si>
    <t xml:space="preserve">E13 Change</t>
  </si>
  <si>
    <t xml:space="preserve">Pause or cancel work in flight</t>
  </si>
  <si>
    <t xml:space="preserve">Plans change. Making them phone someone is the failure.</t>
  </si>
  <si>
    <t xml:space="preserve">Changes menu: fix, add scope, pause, cancel</t>
  </si>
  <si>
    <t xml:space="preserve">Popover</t>
  </si>
  <si>
    <t xml:space="preserve">Request menu: Pause, Cancel</t>
  </si>
  <si>
    <t xml:space="preserve">CL-28</t>
  </si>
  <si>
    <t xml:space="preserve">Know a fix is free and an addition is priced</t>
  </si>
  <si>
    <t xml:space="preserve">Ambiguity here poisons the relationship.</t>
  </si>
  <si>
    <t xml:space="preserve">Stated on the change card before they choose</t>
  </si>
  <si>
    <t xml:space="preserve">Not stated</t>
  </si>
  <si>
    <t xml:space="preserve">CL-29</t>
  </si>
  <si>
    <t xml:space="preserve">Duplicate a request</t>
  </si>
  <si>
    <t xml:space="preserve">Repeat work again.</t>
  </si>
  <si>
    <t xml:space="preserve">B2 list</t>
  </si>
  <si>
    <t xml:space="preserve">Not built</t>
  </si>
  <si>
    <t xml:space="preserve">-</t>
  </si>
  <si>
    <t xml:space="preserve">CL-30</t>
  </si>
  <si>
    <t xml:space="preserve">Set a request to recur</t>
  </si>
  <si>
    <t xml:space="preserve">Monthly reports exist.</t>
  </si>
  <si>
    <t xml:space="preserve">Repeat selector on the delivery date</t>
  </si>
  <si>
    <t xml:space="preserve">CL-31</t>
  </si>
  <si>
    <t xml:space="preserve">Cross</t>
  </si>
  <si>
    <t xml:space="preserve">Standing instructions that apply to all their work</t>
  </si>
  <si>
    <t xml:space="preserve">Saying 'always use British English' once, not on every brief.</t>
  </si>
  <si>
    <t xml:space="preserve">Instructions space</t>
  </si>
  <si>
    <t xml:space="preserve">CL-32</t>
  </si>
  <si>
    <t xml:space="preserve">See who is on their side and ours</t>
  </si>
  <si>
    <t xml:space="preserve">Knowing your audience before you write.</t>
  </si>
  <si>
    <t xml:space="preserve">Right rail</t>
  </si>
  <si>
    <t xml:space="preserve">People drawer — EZ team only, never individual experts</t>
  </si>
  <si>
    <t xml:space="preserve">Collaborators panel</t>
  </si>
  <si>
    <t xml:space="preserve">CL-33</t>
  </si>
  <si>
    <t xml:space="preserve">Never see who inside EZ does the work</t>
  </si>
  <si>
    <t xml:space="preserve">The boundary is the product. Breaking it once breaks it forever.</t>
  </si>
  <si>
    <t xml:space="preserve">All</t>
  </si>
  <si>
    <t xml:space="preserve">Enforced in every surface</t>
  </si>
  <si>
    <t xml:space="preserve">Collaborators panel exposes expert names</t>
  </si>
  <si>
    <t xml:space="preserve">CL-34</t>
  </si>
  <si>
    <t xml:space="preserve">Find anything they have ever sent</t>
  </si>
  <si>
    <t xml:space="preserve">Search beats navigation.</t>
  </si>
  <si>
    <t xml:space="preserve">One search across rooms, money and files</t>
  </si>
  <si>
    <t xml:space="preserve">Per-list search + filter</t>
  </si>
  <si>
    <t xml:space="preserve">EX-01</t>
  </si>
  <si>
    <t xml:space="preserve">Expert</t>
  </si>
  <si>
    <t xml:space="preserve">E8 Allocation</t>
  </si>
  <si>
    <t xml:space="preserve">Be offered an activity with the reason they were picked</t>
  </si>
  <si>
    <t xml:space="preserve">'Why me' is the first question. Answering it makes acceptance faster and refusal honest.</t>
  </si>
  <si>
    <t xml:space="preserve">Offer card naming skill fit and committed capacity</t>
  </si>
  <si>
    <t xml:space="preserve">Allocation section on Create Activity, expert dropdown</t>
  </si>
  <si>
    <t xml:space="preserve">EX-02</t>
  </si>
  <si>
    <t xml:space="preserve">Accept in one tap</t>
  </si>
  <si>
    <t xml:space="preserve">The performer surface should cost seconds, not a login.</t>
  </si>
  <si>
    <t xml:space="preserve">Accept on the offer card</t>
  </si>
  <si>
    <t xml:space="preserve">Not seen — allocation is done to them</t>
  </si>
  <si>
    <t xml:space="preserve">EX-03</t>
  </si>
  <si>
    <t xml:space="preserve">Decline with a reason</t>
  </si>
  <si>
    <t xml:space="preserve">A decline with a reason re-proposes well; a silent decline wastes hours.</t>
  </si>
  <si>
    <t xml:space="preserve">Decline form with four reasons</t>
  </si>
  <si>
    <t xml:space="preserve">role_status has rejected, no UI seen</t>
  </si>
  <si>
    <t xml:space="preserve">EX-04</t>
  </si>
  <si>
    <t xml:space="preserve">See the clock on the offer</t>
  </si>
  <si>
    <t xml:space="preserve">An offer that lapses silently punishes the honest.</t>
  </si>
  <si>
    <t xml:space="preserve">Countdown on the offer card naming who is next</t>
  </si>
  <si>
    <t xml:space="preserve">EX-05</t>
  </si>
  <si>
    <t xml:space="preserve">Ask a question before committing</t>
  </si>
  <si>
    <t xml:space="preserve">Committing blind is how dates get missed.</t>
  </si>
  <si>
    <t xml:space="preserve">Ask, routed to the desk</t>
  </si>
  <si>
    <t xml:space="preserve">EX-06</t>
  </si>
  <si>
    <t xml:space="preserve">See the whole contract they are working to</t>
  </si>
  <si>
    <t xml:space="preserve">Units, rate, dates, tool, required outputs — all of it, in one place.</t>
  </si>
  <si>
    <t xml:space="preserve">The brief space</t>
  </si>
  <si>
    <t xml:space="preserve">Create Activity modal — the same fields, at authoring time only</t>
  </si>
  <si>
    <t xml:space="preserve">EX-07</t>
  </si>
  <si>
    <t xml:space="preserve">See estimated against committed hours</t>
  </si>
  <si>
    <t xml:space="preserve">The gap is the thing that gets flagged. One number hides it.</t>
  </si>
  <si>
    <t xml:space="preserve">Two fields on the brief, with the gap explained</t>
  </si>
  <si>
    <t xml:space="preserve">Estimated Timeline and Committed Timeline fields</t>
  </si>
  <si>
    <t xml:space="preserve">EX-08</t>
  </si>
  <si>
    <t xml:space="preserve">Open the tool with a licence</t>
  </si>
  <si>
    <t xml:space="preserve">A pooled seat is a real constraint and has to be visible.</t>
  </si>
  <si>
    <t xml:space="preserve">Licence card — the activity waits, it does not fail</t>
  </si>
  <si>
    <t xml:space="preserve">Tool field on the input file</t>
  </si>
  <si>
    <t xml:space="preserve">EX-09</t>
  </si>
  <si>
    <t xml:space="preserve">Report progress in units</t>
  </si>
  <si>
    <t xml:space="preserve">Percentages are guesses; units are facts.</t>
  </si>
  <si>
    <t xml:space="preserve">Progress form in units, percentage derived</t>
  </si>
  <si>
    <t xml:space="preserve">Progress % on the Gantt, set by whom is unclear</t>
  </si>
  <si>
    <t xml:space="preserve">EX-10</t>
  </si>
  <si>
    <t xml:space="preserve">Share an interim draft</t>
  </si>
  <si>
    <t xml:space="preserve">Catching a wrong direction early is worth more than a clean handover.</t>
  </si>
  <si>
    <t xml:space="preserve">Interim action, border-safe</t>
  </si>
  <si>
    <t xml:space="preserve">Delivery versions</t>
  </si>
  <si>
    <t xml:space="preserve">EX-11</t>
  </si>
  <si>
    <t xml:space="preserve">Mark themselves blocked and pause their clock</t>
  </si>
  <si>
    <t xml:space="preserve">Waiting is not lateness, and the record must say so.</t>
  </si>
  <si>
    <t xml:space="preserve">Blocked form with four causes</t>
  </si>
  <si>
    <t xml:space="preserve">EX-12</t>
  </si>
  <si>
    <t xml:space="preserve">Flag a date they cannot make</t>
  </si>
  <si>
    <t xml:space="preserve">The SOP is escalate at T-4h. The UI should make that the easy path.</t>
  </si>
  <si>
    <t xml:space="preserve">Flag card, decision goes to the desk</t>
  </si>
  <si>
    <t xml:space="preserve">EX-13</t>
  </si>
  <si>
    <t xml:space="preserve">Dispute a change to their unit count</t>
  </si>
  <si>
    <t xml:space="preserve">Units moving without hours moving is a pay cut. It needs a formal path.</t>
  </si>
  <si>
    <t xml:space="preserve">Unit-change card showing effective rate before and after</t>
  </si>
  <si>
    <t xml:space="preserve">Edit Logs record the change; no dispute path</t>
  </si>
  <si>
    <t xml:space="preserve">EX-14</t>
  </si>
  <si>
    <t xml:space="preserve">Recommend a timeline after seeing the files</t>
  </si>
  <si>
    <t xml:space="preserve">The person who opened the file knows what it takes.</t>
  </si>
  <si>
    <t xml:space="preserve">Recommendation form, one-tap accept for the desk</t>
  </si>
  <si>
    <t xml:space="preserve">EX-15</t>
  </si>
  <si>
    <t xml:space="preserve">Hand back a bad input</t>
  </si>
  <si>
    <t xml:space="preserve">Working on a wrong source bakes the error into every unit.</t>
  </si>
  <si>
    <t xml:space="preserve">Handback returns the input, not the activity</t>
  </si>
  <si>
    <t xml:space="preserve">EX-16</t>
  </si>
  <si>
    <t xml:space="preserve">Ask a peer privately</t>
  </si>
  <si>
    <t xml:space="preserve">The question that most needs asking is the one you cannot ask on the record.</t>
  </si>
  <si>
    <t xml:space="preserve">Private strand, promotable into the room</t>
  </si>
  <si>
    <t xml:space="preserve">Chats panel — all of it on the record</t>
  </si>
  <si>
    <t xml:space="preserve">EX-17</t>
  </si>
  <si>
    <t xml:space="preserve">Talk to the owner or the desk, knowing who hears it</t>
  </si>
  <si>
    <t xml:space="preserve">Ambiguity about audience is the biggest failure mode of chat-first.</t>
  </si>
  <si>
    <t xml:space="preserve">Scope chip stating visibility per option</t>
  </si>
  <si>
    <t xml:space="preserve">Chats panel scoped by node</t>
  </si>
  <si>
    <t xml:space="preserve">EX-18</t>
  </si>
  <si>
    <t xml:space="preserve">Deliver the output</t>
  </si>
  <si>
    <t xml:space="preserve">The handover, with the required outputs checked against the brief.</t>
  </si>
  <si>
    <t xml:space="preserve">Deliver form, outputs matched</t>
  </si>
  <si>
    <t xml:space="preserve">Delivery panel, upload</t>
  </si>
  <si>
    <t xml:space="preserve">EX-19</t>
  </si>
  <si>
    <t xml:space="preserve">Deliver part of it and keep going</t>
  </si>
  <si>
    <t xml:space="preserve">Partial output leaves the activity non-terminal and its dependents waiting.</t>
  </si>
  <si>
    <t xml:space="preserve">Part-of-it mode stating what stays open and who still waits</t>
  </si>
  <si>
    <t xml:space="preserve">EX-20</t>
  </si>
  <si>
    <t xml:space="preserve">Re-deliver after QA sends it back</t>
  </si>
  <si>
    <t xml:space="preserve">Rework is not new scope; no new units, no claw-back.</t>
  </si>
  <si>
    <t xml:space="preserve">v2 alongside v1, notes carried</t>
  </si>
  <si>
    <t xml:space="preserve">Delivery V1/V2 versions</t>
  </si>
  <si>
    <t xml:space="preserve">EX-21</t>
  </si>
  <si>
    <t xml:space="preserve">Sign off an assignment they own</t>
  </si>
  <si>
    <t xml:space="preserve">An expert can own an assignment; owning changes what they sign, not what they are paid.</t>
  </si>
  <si>
    <t xml:space="preserve">Sign-off card, blocked until their own work is in</t>
  </si>
  <si>
    <t xml:space="preserve">EX-22</t>
  </si>
  <si>
    <t xml:space="preserve">See earnings line by line</t>
  </si>
  <si>
    <t xml:space="preserve">Units times rate, per activity. Nothing to reconcile.</t>
  </si>
  <si>
    <t xml:space="preserve">Lines table with state per line</t>
  </si>
  <si>
    <t xml:space="preserve">EX-23</t>
  </si>
  <si>
    <t xml:space="preserve">Know when they are paid and on what</t>
  </si>
  <si>
    <t xml:space="preserve">Paid on verified work, independent of the client paying.</t>
  </si>
  <si>
    <t xml:space="preserve">Payout card stating the rule</t>
  </si>
  <si>
    <t xml:space="preserve">EX-24</t>
  </si>
  <si>
    <t xml:space="preserve">See their rate card</t>
  </si>
  <si>
    <t xml:space="preserve">The rate is the contract; hiding it invites disputes.</t>
  </si>
  <si>
    <t xml:space="preserve">Rate card space</t>
  </si>
  <si>
    <t xml:space="preserve">EX-25</t>
  </si>
  <si>
    <t xml:space="preserve">See the fee-split when work moves</t>
  </si>
  <si>
    <t xml:space="preserve">The workspace never funds the overrun. That rule needs a face.</t>
  </si>
  <si>
    <t xml:space="preserve">Split stated at the cut</t>
  </si>
  <si>
    <t xml:space="preserve">EX-26</t>
  </si>
  <si>
    <t xml:space="preserve">See their week's committed capacity</t>
  </si>
  <si>
    <t xml:space="preserve">Being offered work that does not fit wastes everyone's time.</t>
  </si>
  <si>
    <t xml:space="preserve">Utilisation space</t>
  </si>
  <si>
    <t xml:space="preserve">EX-27</t>
  </si>
  <si>
    <t xml:space="preserve">See their skills and what they are certified for</t>
  </si>
  <si>
    <t xml:space="preserve">Skills drive allocation; the expert should see what drives it.</t>
  </si>
  <si>
    <t xml:space="preserve">Skills reference</t>
  </si>
  <si>
    <t xml:space="preserve">EX-28</t>
  </si>
  <si>
    <t xml:space="preserve">Set availability and time off</t>
  </si>
  <si>
    <t xml:space="preserve">Availability is a hard filter in allocation and cannot be a mystery.</t>
  </si>
  <si>
    <t xml:space="preserve">EX-29</t>
  </si>
  <si>
    <t xml:space="preserve">See feedback the client left</t>
  </si>
  <si>
    <t xml:space="preserve">The rating exists; today it never reaches the person who earned it.</t>
  </si>
  <si>
    <t xml:space="preserve">Feedback modal, client side only</t>
  </si>
  <si>
    <t xml:space="preserve">EX-30</t>
  </si>
  <si>
    <t xml:space="preserve">See what changed on their activity</t>
  </si>
  <si>
    <t xml:space="preserve">This is what a dispute is argued from.</t>
  </si>
  <si>
    <t xml:space="preserve">Edit log space</t>
  </si>
  <si>
    <t xml:space="preserve">Edit Logs panel with device and IP</t>
  </si>
  <si>
    <t xml:space="preserve">EX-31</t>
  </si>
  <si>
    <t xml:space="preserve">Pin a message worth keeping in view</t>
  </si>
  <si>
    <t xml:space="preserve">A long room buries the one line that matters.</t>
  </si>
  <si>
    <t xml:space="preserve">Pin bar, per room</t>
  </si>
  <si>
    <t xml:space="preserve">EX-32</t>
  </si>
  <si>
    <t xml:space="preserve">Have finished work leave their list</t>
  </si>
  <si>
    <t xml:space="preserve">A list that only grows is a list that gets abandoned.</t>
  </si>
  <si>
    <t xml:space="preserve">Verify closes the room; archive keeps the record</t>
  </si>
  <si>
    <t xml:space="preserve">Archived filter on the request list</t>
  </si>
  <si>
    <t xml:space="preserve">SW-01</t>
  </si>
  <si>
    <t xml:space="preserve">SWAT</t>
  </si>
  <si>
    <t xml:space="preserve">Work a queue of everything arriving</t>
  </si>
  <si>
    <t xml:space="preserve">Intake is a queue, and a queue needs a place.</t>
  </si>
  <si>
    <t xml:space="preserve">Intake room, pinned</t>
  </si>
  <si>
    <t xml:space="preserve">Live Requests list, month-grouped</t>
  </si>
  <si>
    <t xml:space="preserve">SW-02</t>
  </si>
  <si>
    <t xml:space="preserve">Map an unmapped sender to a client</t>
  </si>
  <si>
    <t xml:space="preserve">Nothing may auto-attach to the wrong client. Ever.</t>
  </si>
  <si>
    <t xml:space="preserve">Mapping card with the AI's confidence and the alternatives</t>
  </si>
  <si>
    <t xml:space="preserve">SW-03</t>
  </si>
  <si>
    <t xml:space="preserve">Disambiguate a sender that matches two clients</t>
  </si>
  <si>
    <t xml:space="preserve">Guessing here is a data-protection incident, not a UX problem.</t>
  </si>
  <si>
    <t xml:space="preserve">SW-04</t>
  </si>
  <si>
    <t xml:space="preserve">Not create the same request twice from one thread</t>
  </si>
  <si>
    <t xml:space="preserve">Duplicates corrupt every count downstream.</t>
  </si>
  <si>
    <t xml:space="preserve">SW-05</t>
  </si>
  <si>
    <t xml:space="preserve">Have a missing or past deadline flagged before composing</t>
  </si>
  <si>
    <t xml:space="preserve">A plan built on a bad date is waste.</t>
  </si>
  <si>
    <t xml:space="preserve">SW-06</t>
  </si>
  <si>
    <t xml:space="preserve">Raise a request on behalf of a client</t>
  </si>
  <si>
    <t xml:space="preserve">Briefs arrive by phone and in corridors.</t>
  </si>
  <si>
    <t xml:space="preserve">Raise a request — client, entity, charge code, wallet state</t>
  </si>
  <si>
    <t xml:space="preserve">Create New Request modal</t>
  </si>
  <si>
    <t xml:space="preserve">SW-07</t>
  </si>
  <si>
    <t xml:space="preserve">Build the plan by hand instead of composing it</t>
  </si>
  <si>
    <t xml:space="preserve">Some briefs are odd enough that a draft is only something to undo.</t>
  </si>
  <si>
    <t xml:space="preserve">Draft with the required skeleton, built out in the tree</t>
  </si>
  <si>
    <t xml:space="preserve">Create Assignment then Create Activity, modal by modal</t>
  </si>
  <si>
    <t xml:space="preserve">SW-08</t>
  </si>
  <si>
    <t xml:space="preserve">E6 Compose</t>
  </si>
  <si>
    <t xml:space="preserve">See the AI's plan with its confidence</t>
  </si>
  <si>
    <t xml:space="preserve">Confidence is what tells you whether to read it or trust it.</t>
  </si>
  <si>
    <t xml:space="preserve">Ratify card with activity count, price, margin, confidence</t>
  </si>
  <si>
    <t xml:space="preserve">SW-09</t>
  </si>
  <si>
    <t xml:space="preserve">See the scope sheet and any clarifying questions</t>
  </si>
  <si>
    <t xml:space="preserve">A vague brief should produce questions, not a fabricated plan.</t>
  </si>
  <si>
    <t xml:space="preserve">SW-10</t>
  </si>
  <si>
    <t xml:space="preserve">Publish the whole tree in one action</t>
  </si>
  <si>
    <t xml:space="preserve">Approval is one action, not a wizard.</t>
  </si>
  <si>
    <t xml:space="preserve">Ratify &amp; launch</t>
  </si>
  <si>
    <t xml:space="preserve">Confirm on the assignment modal</t>
  </si>
  <si>
    <t xml:space="preserve">SW-11</t>
  </si>
  <si>
    <t xml:space="preserve">Be stopped from publishing on an unfunded wallet</t>
  </si>
  <si>
    <t xml:space="preserve">Publishing work that cannot be paid for is a false start.</t>
  </si>
  <si>
    <t xml:space="preserve">Wallet state on the ratify card before the decision</t>
  </si>
  <si>
    <t xml:space="preserve">SW-12</t>
  </si>
  <si>
    <t xml:space="preserve">Edit the plan before it publishes</t>
  </si>
  <si>
    <t xml:space="preserve">Tree with per-node menus and forms</t>
  </si>
  <si>
    <t xml:space="preserve">Edit Delivery Plan, Edit Assignment, Edit Activity</t>
  </si>
  <si>
    <t xml:space="preserve">SW-13</t>
  </si>
  <si>
    <t xml:space="preserve">See who was proposed and why, plus the alternates</t>
  </si>
  <si>
    <t xml:space="preserve">Allocation is the most consequential decision on the floor.</t>
  </si>
  <si>
    <t xml:space="preserve">Allocation section: expert, rating, availability, Open For Bids</t>
  </si>
  <si>
    <t xml:space="preserve">SW-14</t>
  </si>
  <si>
    <t xml:space="preserve">Chase an expert who has gone quiet</t>
  </si>
  <si>
    <t xml:space="preserve">One nudge, then offer onward. The SOP exists; the UI should run it.</t>
  </si>
  <si>
    <t xml:space="preserve">Quiet-expert card with the SOP and the next best</t>
  </si>
  <si>
    <t xml:space="preserve">SW-15</t>
  </si>
  <si>
    <t xml:space="preserve">Reassign work and see the fee-split</t>
  </si>
  <si>
    <t xml:space="preserve">The workspace never funds the overrun.</t>
  </si>
  <si>
    <t xml:space="preserve">Split logged at the cut, both shares named</t>
  </si>
  <si>
    <t xml:space="preserve">SW-16</t>
  </si>
  <si>
    <t xml:space="preserve">See who is free and who is over</t>
  </si>
  <si>
    <t xml:space="preserve">Allocating into an overloaded person is how QA slips.</t>
  </si>
  <si>
    <t xml:space="preserve">Capacity space</t>
  </si>
  <si>
    <t xml:space="preserve">SW-17</t>
  </si>
  <si>
    <t xml:space="preserve">See request, assignment and activity as one structure</t>
  </si>
  <si>
    <t xml:space="preserve">This is the object EZ manages. It is the spine, not a report.</t>
  </si>
  <si>
    <t xml:space="preserve">Tree in the list, two taps deep, every node a room</t>
  </si>
  <si>
    <t xml:space="preserve">Gantt rows and a Flowchart view</t>
  </si>
  <si>
    <t xml:space="preserve">SW-18</t>
  </si>
  <si>
    <t xml:space="preserve">Split a file into parts, each becoming an activity</t>
  </si>
  <si>
    <t xml:space="preserve">Every number downstream — units, price, payout — comes from the split.</t>
  </si>
  <si>
    <t xml:space="preserve">The splitter, with the remainder rule stated</t>
  </si>
  <si>
    <t xml:space="preserve">Plan / Splitter toggle</t>
  </si>
  <si>
    <t xml:space="preserve">SW-19</t>
  </si>
  <si>
    <t xml:space="preserve">See the plan against time</t>
  </si>
  <si>
    <t xml:space="preserve">Dates are the job.</t>
  </si>
  <si>
    <t xml:space="preserve">Gantt space per request</t>
  </si>
  <si>
    <t xml:space="preserve">Zoomable hour-level Gantt with tier filters</t>
  </si>
  <si>
    <t xml:space="preserve">SW-20</t>
  </si>
  <si>
    <t xml:space="preserve">Add an activity, or a sibling or nested assignment</t>
  </si>
  <si>
    <t xml:space="preserve">Real plans grow. A plan you can only approve is not a plan.</t>
  </si>
  <si>
    <t xml:space="preserve">Inline add on the row, plus the node menu</t>
  </si>
  <si>
    <t xml:space="preserve">Add Activity / Add Nested / Add Sibling on the menu</t>
  </si>
  <si>
    <t xml:space="preserve">SW-21</t>
  </si>
  <si>
    <t xml:space="preserve">Pause, cancel or duplicate a node</t>
  </si>
  <si>
    <t xml:space="preserve">Daily ops work.</t>
  </si>
  <si>
    <t xml:space="preserve">Node menu at assignment and activity</t>
  </si>
  <si>
    <t xml:space="preserve">Menus at request, assignment and activity</t>
  </si>
  <si>
    <t xml:space="preserve">SW-22</t>
  </si>
  <si>
    <t xml:space="preserve">Act on many activities at once</t>
  </si>
  <si>
    <t xml:space="preserve">Forty rows means bulk or misery.</t>
  </si>
  <si>
    <t xml:space="preserve">Select All · Cancel · Pause · Delete · Duplicate</t>
  </si>
  <si>
    <t xml:space="preserve">SW-23</t>
  </si>
  <si>
    <t xml:space="preserve">See files by shelf with progress on each</t>
  </si>
  <si>
    <t xml:space="preserve">Which file is holding the request up, not which assignment.</t>
  </si>
  <si>
    <t xml:space="preserve">Files space — source, working, deliverable, with bars</t>
  </si>
  <si>
    <t xml:space="preserve">Files panel: Input and Reference only</t>
  </si>
  <si>
    <t xml:space="preserve">SW-24</t>
  </si>
  <si>
    <t xml:space="preserve">Run an AI agent as a performer</t>
  </si>
  <si>
    <t xml:space="preserve">An agent is allocated like anyone; it just does not accept.</t>
  </si>
  <si>
    <t xml:space="preserve">Agent room and agent card</t>
  </si>
  <si>
    <t xml:space="preserve">Tools tiles on the home screen</t>
  </si>
  <si>
    <t xml:space="preserve">SW-25</t>
  </si>
  <si>
    <t xml:space="preserve">Sign off at the boundary before anything crosses</t>
  </si>
  <si>
    <t xml:space="preserve">Mandatory review. Nothing reaches the client without it.</t>
  </si>
  <si>
    <t xml:space="preserve">Boundary sign-off card</t>
  </si>
  <si>
    <t xml:space="preserve">SW-26</t>
  </si>
  <si>
    <t xml:space="preserve">Chase a client who has not verified</t>
  </si>
  <si>
    <t xml:space="preserve">A delivery nobody verifies never bills.</t>
  </si>
  <si>
    <t xml:space="preserve">Nudge card with the auto-close policy</t>
  </si>
  <si>
    <t xml:space="preserve">SW-27</t>
  </si>
  <si>
    <t xml:space="preserve">Verify billable work and raise the invoice from it</t>
  </si>
  <si>
    <t xml:space="preserve">Verify emits one billable event; invoice and payout fire together.</t>
  </si>
  <si>
    <t xml:space="preserve">Verify — a ledger, not a conversation</t>
  </si>
  <si>
    <t xml:space="preserve">None. WS 2.0 auto-invoices on mark-complete, with a repair cron</t>
  </si>
  <si>
    <t xml:space="preserve">SW-28</t>
  </si>
  <si>
    <t xml:space="preserve">See why a line is not billable yet</t>
  </si>
  <si>
    <t xml:space="preserve">'Why is this not invoiced' is the actual question.</t>
  </si>
  <si>
    <t xml:space="preserve">Blocked rows stay visible with the reason</t>
  </si>
  <si>
    <t xml:space="preserve">SW-29</t>
  </si>
  <si>
    <t xml:space="preserve">See receivables, wallets, payouts and margin</t>
  </si>
  <si>
    <t xml:space="preserve">Both books in one place.</t>
  </si>
  <si>
    <t xml:space="preserve">Money pane with in/out filters and net position</t>
  </si>
  <si>
    <t xml:space="preserve">SW-30</t>
  </si>
  <si>
    <t xml:space="preserve">Run a retainer period to close</t>
  </si>
  <si>
    <t xml:space="preserve">Same engine; only 'complete' differs.</t>
  </si>
  <si>
    <t xml:space="preserve">Retainer room with usage and period close</t>
  </si>
  <si>
    <t xml:space="preserve">SW-31</t>
  </si>
  <si>
    <t xml:space="preserve">Measure an outcome for BOT billing</t>
  </si>
  <si>
    <t xml:space="preserve">Outcome billing needs a measured metric before it can bill.</t>
  </si>
  <si>
    <t xml:space="preserve">Not built — awaiting Joy's formula</t>
  </si>
  <si>
    <t xml:space="preserve">SW-32</t>
  </si>
  <si>
    <t xml:space="preserve">Handle a client dispute without stopping payout</t>
  </si>
  <si>
    <t xml:space="preserve">Verified-work payout is never clawed back.</t>
  </si>
  <si>
    <t xml:space="preserve">Dispute card stating the rule</t>
  </si>
  <si>
    <t xml:space="preserve">SW-33</t>
  </si>
  <si>
    <t xml:space="preserve">Receive an expert's dispute or recommendation and resolve it in one click</t>
  </si>
  <si>
    <t xml:space="preserve">The expert app raises both today and nothing receives them.</t>
  </si>
  <si>
    <t xml:space="preserve">SW-34</t>
  </si>
  <si>
    <t xml:space="preserve">Handle a goodwill fix after completion</t>
  </si>
  <si>
    <t xml:space="preserve">A new linked assignment, never a reopening.</t>
  </si>
  <si>
    <t xml:space="preserve">SW-35</t>
  </si>
  <si>
    <t xml:space="preserve">See who is on a request, by role</t>
  </si>
  <si>
    <t xml:space="preserve">Knowing who to chase is half the job.</t>
  </si>
  <si>
    <t xml:space="preserve">Room header</t>
  </si>
  <si>
    <t xml:space="preserve">Face stack opening a team sheet</t>
  </si>
  <si>
    <t xml:space="preserve">SW-36</t>
  </si>
  <si>
    <t xml:space="preserve">See every change with who and from where</t>
  </si>
  <si>
    <t xml:space="preserve">The record disputes are argued from.</t>
  </si>
  <si>
    <t xml:space="preserve">Edit log, written by the app</t>
  </si>
  <si>
    <t xml:space="preserve">SW-37</t>
  </si>
  <si>
    <t xml:space="preserve">Reach the SOP that governs the situation</t>
  </si>
  <si>
    <t xml:space="preserve">A rule you have to remember is a rule that gets broken.</t>
  </si>
  <si>
    <t xml:space="preserve">SOPs and playbooks drawer</t>
  </si>
  <si>
    <t xml:space="preserve">SW-38</t>
  </si>
  <si>
    <t xml:space="preserve">Hold a client's standing instructions</t>
  </si>
  <si>
    <t xml:space="preserve">Per-client rules that apply to all their work.</t>
  </si>
  <si>
    <t xml:space="preserve">Client instructions drawer</t>
  </si>
  <si>
    <t xml:space="preserve">SW-39</t>
  </si>
  <si>
    <t xml:space="preserve">See exactly what the client can see</t>
  </si>
  <si>
    <t xml:space="preserve">The boundary is only safe if it is inspectable.</t>
  </si>
  <si>
    <t xml:space="preserve">Client-view card</t>
  </si>
  <si>
    <t xml:space="preserve">SW-40</t>
  </si>
  <si>
    <t xml:space="preserve">Move between Live, Drafts, Delivered and Archived</t>
  </si>
  <si>
    <t xml:space="preserve">Lifecycle states are how a busy list stays usable.</t>
  </si>
  <si>
    <t xml:space="preserve">Draft state only</t>
  </si>
  <si>
    <t xml:space="preserve">Live / Drafts / Delivered / Archived</t>
  </si>
  <si>
    <t xml:space="preserve">SW-41</t>
  </si>
  <si>
    <t xml:space="preserve">Scan forty requests at once</t>
  </si>
  <si>
    <t xml:space="preserve">Above about a dozen rooms, a list stops being scannable.</t>
  </si>
  <si>
    <t xml:space="preserve">Chat list, at-risk first — a board was tried and rejected</t>
  </si>
  <si>
    <t xml:space="preserve">Live Requests table: ID, status, progress, notifications, owner, due</t>
  </si>
  <si>
    <t xml:space="preserve">AD-01</t>
  </si>
  <si>
    <t xml:space="preserve">WS Admin</t>
  </si>
  <si>
    <t xml:space="preserve">E2 Config</t>
  </si>
  <si>
    <t xml:space="preserve">Configure the operating model declaratively</t>
  </si>
  <si>
    <t xml:space="preserve">Every EZ value is config; the platform stays generic.</t>
  </si>
  <si>
    <t xml:space="preserve">Setup console</t>
  </si>
  <si>
    <t xml:space="preserve">Out of scope for the three chat-first apps</t>
  </si>
  <si>
    <t xml:space="preserve">Admin screens not shared</t>
  </si>
  <si>
    <t xml:space="preserve">AD-02</t>
  </si>
  <si>
    <t xml:space="preserve">See a readiness dashboard — 'you can deliver once these are set'</t>
  </si>
  <si>
    <t xml:space="preserve">Config is only meaningful against a goal.</t>
  </si>
  <si>
    <t xml:space="preserve">AD-03</t>
  </si>
  <si>
    <t xml:space="preserve">E3 People</t>
  </si>
  <si>
    <t xml:space="preserve">Add people, roles and skills</t>
  </si>
  <si>
    <t xml:space="preserve">Skills drive allocation.</t>
  </si>
  <si>
    <t xml:space="preserve">People screen</t>
  </si>
  <si>
    <t xml:space="preserve">AD-04</t>
  </si>
  <si>
    <t xml:space="preserve">E4 Relationships</t>
  </si>
  <si>
    <t xml:space="preserve">Set per-client pricing, invoice codes and SLAs</t>
  </si>
  <si>
    <t xml:space="preserve">The commercial terms the whole graph derives from.</t>
  </si>
  <si>
    <t xml:space="preserve">AD-05</t>
  </si>
  <si>
    <t xml:space="preserve">Operator L0</t>
  </si>
  <si>
    <t xml:space="preserve">E1 Provision</t>
  </si>
  <si>
    <t xml:space="preserve">Provision a workspace, set tier and modules</t>
  </si>
  <si>
    <t xml:space="preserve">No tenant content ever visible at this level.</t>
  </si>
  <si>
    <t xml:space="preserve">Operator console</t>
  </si>
  <si>
    <t xml:space="preserve">COMPONENT BY COMPONENT   ·   WS 2.0 vs chat-first   ·   why each one sits where it does</t>
  </si>
  <si>
    <t xml:space="preserve">Component</t>
  </si>
  <si>
    <t xml:space="preserve">WS 2.0 treatment</t>
  </si>
  <si>
    <t xml:space="preserve">Our treatment</t>
  </si>
  <si>
    <t xml:space="preserve">Surface</t>
  </si>
  <si>
    <t xml:space="preserve">Why it sits there</t>
  </si>
  <si>
    <t xml:space="preserve">Why it is better</t>
  </si>
  <si>
    <t xml:space="preserve">Where WS 2.0 still wins</t>
  </si>
  <si>
    <t xml:space="preserve">The place work lives</t>
  </si>
  <si>
    <t xml:space="preserve">A Live Requests table: ID, Request, Status, Progress, Notifications, Owner, Due Date — grouped by month, with search and a filter icon.</t>
  </si>
  <si>
    <t xml:space="preserve">A list of rooms, at-risk first, each carrying the exception in plain words and a state badge in ops language (Ratify, Stalled, Verify D+2).</t>
  </si>
  <si>
    <t xml:space="preserve">B2 list + context</t>
  </si>
  <si>
    <t xml:space="preserve">The list is the only surface a person sees before they know what they are doing. It has to answer 'what needs me' rather than 'what exists'. A table answers the second question well and the first one badly, because every row looks equally important.</t>
  </si>
  <si>
    <t xml:space="preserve">A row states the exception and the SOP, not a status word: 'Tariq silent 4h - SOP-15 says offer onward'. You can triage without opening anything.</t>
  </si>
  <si>
    <t xml:space="preserve">Above roughly a dozen rows a table wins on scanning. We built a board for SWAT and reverted it - see the Honest gaps tab.</t>
  </si>
  <si>
    <t xml:space="preserve">Request detail</t>
  </si>
  <si>
    <t xml:space="preserve">A detail pane beside the list: request ID, deliver-to, CC, instructions, input and reference files, requested delivery, entity, charge code, with an Edit link opening a modal.</t>
  </si>
  <si>
    <t xml:space="preserve">The request is a room. Its facts arrive as cards in the stream; its structure is summoned as spaces over the same ground.</t>
  </si>
  <si>
    <t xml:space="preserve">B4 conversation + B3 spaces</t>
  </si>
  <si>
    <t xml:space="preserve">The vision doc's whole distinction is what is ground and what is summoned. In Framework B the room is the ground, so a request cannot be a document you visit - it is a place you are in, and its detail is pulled in on demand.</t>
  </si>
  <si>
    <t xml:space="preserve">Reading a fact and acting on it are the same gesture. In WS 2.0 the detail pane is read-only and every action is a separate modal.</t>
  </si>
  <si>
    <t xml:space="preserve">A modal that shows all fields at once is faster to audit than cards you summon one at a time.</t>
  </si>
  <si>
    <t xml:space="preserve">Request → assignment → activity</t>
  </si>
  <si>
    <t xml:space="preserve">Implied by indentation on the Gantt (ASM- rows under REQ-), plus a Flowchart view. Two views of the same thing, neither of them the navigation.</t>
  </si>
  <si>
    <t xml:space="preserve">The tree IS the navigation: a request opens to its assignments, an assignment to its activities, and every node is a room with its own conversation.</t>
  </si>
  <si>
    <t xml:space="preserve">This is the only object EZ actually manages, and the vision doc says each node is a room. Putting the hierarchy in the list means the structure and the navigation are the same thing, so there is nothing to keep in sync.</t>
  </si>
  <si>
    <t xml:space="preserve">Two taps deep, nothing rendered until asked for. Each level is addressable, so a conversation attaches to the node it is about - which is what makes a dispute filable against an activity rather than a request.</t>
  </si>
  <si>
    <t xml:space="preserve">The plan against time</t>
  </si>
  <si>
    <t xml:space="preserve">A first-class Gantt: hour-level columns, a 12-hour zoom control, tier and assignment filters, per-row start and due, assignee, and a Today marker.</t>
  </si>
  <si>
    <t xml:space="preserve">A plan space summoned into the room, showing the activities on one axis with today marked and the dependencies that are not yours greyed.</t>
  </si>
  <si>
    <t xml:space="preserve">A Gantt is a scheduling instrument, not a reading surface. Summoning it keeps the room readable when you do not need it and gives it the full width when you do.</t>
  </si>
  <si>
    <t xml:space="preserve">The performer's version shows what their bar gates - Sana cannot start until this lands - which is the only reason a performer needs a Gantt at all.</t>
  </si>
  <si>
    <t xml:space="preserve">WS 2.0's is better: zoomable, filterable, hour-level. Ours is a strip. For a desk running forty requests theirs is the stronger tool.</t>
  </si>
  <si>
    <t xml:space="preserve">The splitter</t>
  </si>
  <si>
    <t xml:space="preserve">A Plan / Splitter toggle on the request. The mechanism that turns one file into parts and parts into activities.</t>
  </si>
  <si>
    <t xml:space="preserve">A splitter space: cut into 2, 3, 4 or 6, preview the ranges and the cost per part, remainder to part one, apply and the activities are written into the tree.</t>
  </si>
  <si>
    <t xml:space="preserve">Every number downstream comes from here - the unit count, the price, the payout. It belongs beside the tree it writes into, not in a separate mode.</t>
  </si>
  <si>
    <t xml:space="preserve">The preview states the arithmetic before it commits, including where the remainder goes, so the split is auditable at the moment it is made rather than in a log afterwards.</t>
  </si>
  <si>
    <t xml:space="preserve">Editing the plan</t>
  </si>
  <si>
    <t xml:space="preserve">Modal forms: Create/Edit Assignment (offering, language, template, urgency, unit type and count, entity, charge code, invoice code) and Create/Edit Activity (skill, units, start, deadline, estimated vs committed, input files with tool and access, required outputs with mandatory and map-to, allocation with rating and availability).</t>
  </si>
  <si>
    <t xml:space="preserve">Per-node menus on the tree - edit, add activity, add sibling or nested assignment, pause, duplicate, cancel - opening the same field set as a card in the room.</t>
  </si>
  <si>
    <t xml:space="preserve">B3 spaces + popover</t>
  </si>
  <si>
    <t xml:space="preserve">Editing belongs where the thing being edited is visible. A modal hides the tree you are reasoning about; a card in the room keeps it above you.</t>
  </si>
  <si>
    <t xml:space="preserve">The consequence updates live: cancel a 700 activity and the margin moves 50% to 63% while you decide. WS 2.0 shows you the result after you save.</t>
  </si>
  <si>
    <t xml:space="preserve">WS 2.0's field coverage is still ahead at request level, and its menus include a Timeline Manager we have no answer to.</t>
  </si>
  <si>
    <t xml:space="preserve">Alerts and attention</t>
  </si>
  <si>
    <t xml:space="preserve">Notification count badges on each request row, and a bell.</t>
  </si>
  <si>
    <t xml:space="preserve">A bar under the room header carrying that room's top alert with the action on it; a sheet listing everything, grouped into Needs you, For your awareness, and Handled.</t>
  </si>
  <si>
    <t xml:space="preserve">An alert is about a node, so it belongs on the node. Home is the only place that sees everything - anywhere else, an alert from elsewhere is noise.</t>
  </si>
  <si>
    <t xml:space="preserve">The bar carries the resolving action, so an alert is cleared where it happened rather than navigated to. A badge tells you a number; this tells you the move.</t>
  </si>
  <si>
    <t xml:space="preserve">Decisions</t>
  </si>
  <si>
    <t xml:space="preserve">Modals with Confirm and Cancel.</t>
  </si>
  <si>
    <t xml:space="preserve">Decision cards in the stream: a coloured spine by severity, the consequence in prose, and the actions on the card itself.</t>
  </si>
  <si>
    <t xml:space="preserve">A decision has a before and an after, and both belong in the record. A modal has neither - it appears from nowhere and leaves no trace.</t>
  </si>
  <si>
    <t xml:space="preserve">The card states what happens if you do nothing, which is the information a modal never carries. It also stays in the room afterwards as the reason the thing happened.</t>
  </si>
  <si>
    <t xml:space="preserve">Conversation</t>
  </si>
  <si>
    <t xml:space="preserve">A Chats side panel, scoped by Request / Assignments / Experts, with unread dots and file attachments.</t>
  </si>
  <si>
    <t xml:space="preserve">The conversation is the ground the whole app stands on. Every other surface is summoned over it.</t>
  </si>
  <si>
    <t xml:space="preserve">This is Framework B's founding choice and the vision doc's one distinction that drives everything: the room is the ground; structure is summoned.</t>
  </si>
  <si>
    <t xml:space="preserve">Nothing has to be kept in sync between a record and a discussion about the record, because they are the same stream. WS 2.0 already had chat - it was simply beside the work rather than under it.</t>
  </si>
  <si>
    <t xml:space="preserve">Their panel is honest about scale: an unread list of rooms is easier to work than a stream when you hold forty of them.</t>
  </si>
  <si>
    <t xml:space="preserve">Knowing who hears you</t>
  </si>
  <si>
    <t xml:space="preserve">Implicit in which chat you opened.</t>
  </si>
  <si>
    <t xml:space="preserve">A scope chip on the prompt naming the audience and its visibility - the owner sees it, SWAT means the owner sees it too, a peer means neither, AI means nobody.</t>
  </si>
  <si>
    <t xml:space="preserve">Ambiguity about audience is the single biggest failure mode of a chat-first product. If people are unsure who hears them, they either overshare across a boundary or stop using it.</t>
  </si>
  <si>
    <t xml:space="preserve">Visibility is stated per option at the moment of choosing, not inferred from which panel you happen to be in.</t>
  </si>
  <si>
    <t xml:space="preserve">A private word with a peer</t>
  </si>
  <si>
    <t xml:space="preserve">None. Everything is on the record.</t>
  </si>
  <si>
    <t xml:space="preserve">A private strand inside the activity, lilac and locked, headed with who can and cannot see it - and promotable into the room in one action.</t>
  </si>
  <si>
    <t xml:space="preserve">B5 prompt + B4</t>
  </si>
  <si>
    <t xml:space="preserve">The question an expert most needs to ask is the one they cannot ask on the record. Denying it does not prevent it; it moves it to WhatsApp where EZ can neither help nor learn from it.</t>
  </si>
  <si>
    <t xml:space="preserve">Private by content, never secret in existence, and escalatable. A side-channel you can promote beats one you have to hide.</t>
  </si>
  <si>
    <t xml:space="preserve">Files</t>
  </si>
  <si>
    <t xml:space="preserve">A Files panel: Input Files and Reference Files, each downloadable.</t>
  </si>
  <si>
    <t xml:space="preserve">Three shelves - source, working, deliverable - with a progress bar on each file and the boundary rule stated between them.</t>
  </si>
  <si>
    <t xml:space="preserve">Files are where a request actually stalls. Shelving them by which side of the boundary they sit on makes the rule visible instead of remembered.</t>
  </si>
  <si>
    <t xml:space="preserve">Per-file progress answers which file is holding the request up, not which assignment. And the deliverable shelf shows what cannot cross yet, and why.</t>
  </si>
  <si>
    <t xml:space="preserve">Deliveries</t>
  </si>
  <si>
    <t xml:space="preserve">A Deliveries panel with real versioning - V1 and V2, each with notes, files, Download All and a share link.</t>
  </si>
  <si>
    <t xml:space="preserve">A deliveries space with the same versioning, plus the QA notes carried onto the version that answers them.</t>
  </si>
  <si>
    <t xml:space="preserve">Versions are a record, and a record belongs with the object rather than in a modal.</t>
  </si>
  <si>
    <t xml:space="preserve">Parity, with the QA round-trip attached: v2 carries what changed and why, so the client sees the argument, not just the file.</t>
  </si>
  <si>
    <t xml:space="preserve">WS 2.0 got here first and its panel is complete. This is a straight copy of a good idea.</t>
  </si>
  <si>
    <t xml:space="preserve">Verify and settlement</t>
  </si>
  <si>
    <t xml:space="preserve">None as a surface. WS 2.0 auto-invoices synchronously on mark-complete, and a repair cron later fixes requests that skipped V&amp;S.</t>
  </si>
  <si>
    <t xml:space="preserve">Verify is a full-width ledger: every billable line with its reconciliation pre-computed, per-line and bulk verify, and the invoice raised from the table.</t>
  </si>
  <si>
    <t xml:space="preserve">This is the commercial gate. It is a table because it is worked down, not discussed - the one place in the app where a conversation would be in the way.</t>
  </si>
  <si>
    <t xml:space="preserve">The PRD names the auto-invoice-on-complete behaviour as the single most important thing to change. One tap emits one billable event; the invoice and the performer payout fire off it together. There is no cron to repair drift because there is no drift.</t>
  </si>
  <si>
    <t xml:space="preserve">Money, client side</t>
  </si>
  <si>
    <t xml:space="preserve">Not seen in the shared screens.</t>
  </si>
  <si>
    <t xml:space="preserve">Money owns its pane: wallet, work history, statements, budget tracker - with credits stated as the funding source and terms as the fallback.</t>
  </si>
  <si>
    <t xml:space="preserve">Money is a different question from work, so it takes the whole pane rather than sitting as one more room among requests.</t>
  </si>
  <si>
    <t xml:space="preserve">The tracker projects the month at the current pace, which is the number a client actually asks for. Prepaid credits and 14-day terms are reconciled explicitly so the same work never appears to be billed twice.</t>
  </si>
  <si>
    <t xml:space="preserve">Money, expert side</t>
  </si>
  <si>
    <t xml:space="preserve">Not seen.</t>
  </si>
  <si>
    <t xml:space="preserve">Earnings line by line as units times rate, payouts by period, the rate card, and the rule that payout follows verified work regardless of whether the client has paid.</t>
  </si>
  <si>
    <t xml:space="preserve">An expert's money question is 'what am I owed and when', which has nothing to do with the client's receivables.</t>
  </si>
  <si>
    <t xml:space="preserve">It is theirs. An earlier build showed the client's overdue invoices to the expert, which is both a boundary breach and useless to them.</t>
  </si>
  <si>
    <t xml:space="preserve">Money, SWAT side</t>
  </si>
  <si>
    <t xml:space="preserve">Both books: receivables, client wallets, payouts, tracker, with in/out filters and the net position stated.</t>
  </si>
  <si>
    <t xml:space="preserve">SWAT is the only role that sees both ends, which is also why the margin only exists on their surface.</t>
  </si>
  <si>
    <t xml:space="preserve">The wallet state gates intake, so money and work are connected rather than parallel.</t>
  </si>
  <si>
    <t xml:space="preserve">Who is on this</t>
  </si>
  <si>
    <t xml:space="preserve">A Collaborators panel grouping avatars by Requestors, Owners and Experts.</t>
  </si>
  <si>
    <t xml:space="preserve">A face stack in the room header opening a sheet grouped by role, with presence and a message action on each.</t>
  </si>
  <si>
    <t xml:space="preserve">Room header + popover</t>
  </si>
  <si>
    <t xml:space="preserve">Knowing your audience is a precondition for writing anything, so it belongs in the header rather than a panel you remember to open.</t>
  </si>
  <si>
    <t xml:space="preserve">One tap from the room to a message with the right person. WS 2.0 shows you who they are; ours also gets you to them.</t>
  </si>
  <si>
    <t xml:space="preserve">What changed</t>
  </si>
  <si>
    <t xml:space="preserve">An Edit Logs panel: the change, the timestamp, the user, and the device and IP it came from.</t>
  </si>
  <si>
    <t xml:space="preserve">An edit log space, written by the app as changes happen, with the same attribution.</t>
  </si>
  <si>
    <t xml:space="preserve">This is the evidence layer. It has to be reachable from the object under dispute, which means it lives with the object.</t>
  </si>
  <si>
    <t xml:space="preserve">Parity on content. The difference is that the expert also has one, so a unit-count dispute has two symmetrical records rather than one that only ops can see.</t>
  </si>
  <si>
    <t xml:space="preserve">WS 2.0 shipped this first and it is genuinely well done. We copied it.</t>
  </si>
  <si>
    <t xml:space="preserve">Intake</t>
  </si>
  <si>
    <t xml:space="preserve">Requests appear in the list. No queue for unmapped or ambiguous senders in the screens shared.</t>
  </si>
  <si>
    <t xml:space="preserve">An intake room: unmapped senders held as decision cards with the AI's confidence and the alternatives, and the request created only on a human's tap.</t>
  </si>
  <si>
    <t xml:space="preserve">Intake is a queue of decisions, and a decision belongs in a stream where its resolution is recorded.</t>
  </si>
  <si>
    <t xml:space="preserve">Nothing auto-attaches to the wrong client, and the reason a mapping was chosen survives in the room.</t>
  </si>
  <si>
    <t xml:space="preserve">Creating a request</t>
  </si>
  <si>
    <t xml:space="preserve">A Create New Request modal with the full field set, then Create Assignment, then Create Activity - three modals to a working plan.</t>
  </si>
  <si>
    <t xml:space="preserve">Two roads from one card: let the composer draft it, or build the plan by hand from the skeleton the graph requires.</t>
  </si>
  <si>
    <t xml:space="preserve">B4 conversation + B3</t>
  </si>
  <si>
    <t xml:space="preserve">Most briefs are ordinary and want a draft in seconds; a few are odd enough that a draft is only something to undo. Forcing either road on both is what makes the other one painful.</t>
  </si>
  <si>
    <t xml:space="preserve">The composed road produces a ratifiable plan in one step rather than three modals. The by-hand road starts from a valid skeleton - one assignment and its mandatory Deliver - so an invalid plan is harder to build than a valid one.</t>
  </si>
  <si>
    <t xml:space="preserve">Progress</t>
  </si>
  <si>
    <t xml:space="preserve">A percentage on the request row and a segmented bar per assignment.</t>
  </si>
  <si>
    <t xml:space="preserve">Progress in units at activity level, rolled up per assignment and per request, and separately per file.</t>
  </si>
  <si>
    <t xml:space="preserve">B3 spaces + B2</t>
  </si>
  <si>
    <t xml:space="preserve">Percentages are derived; units are the fact. Reporting the derived number invites the argument.</t>
  </si>
  <si>
    <t xml:space="preserve">The performer sets units and the percentage follows, so nobody is asked to estimate a percentage. Per-file progress then answers which file is the blocker.</t>
  </si>
  <si>
    <t xml:space="preserve">Retainers and periods</t>
  </si>
  <si>
    <t xml:space="preserve">A retainer is a room with a service period, its committed hours, and a period-close verify - the same tree as anything else.</t>
  </si>
  <si>
    <t xml:space="preserve">One engine. A retainer differs only in what 'complete' means, and the UI should show that rather than special-case it.</t>
  </si>
  <si>
    <t xml:space="preserve">Type B work exists in the same surfaces as Type A instead of needing its own product.</t>
  </si>
  <si>
    <t xml:space="preserve">An agent as a performer</t>
  </si>
  <si>
    <t xml:space="preserve">Tools tiles on the home screen - Translate.ai, Flip.ai, Read.ai, Consult.ai - launched as apps.</t>
  </si>
  <si>
    <t xml:space="preserve">The agent is allocated like a person and has a room; it simply does not accept, it runs, and a human QA follows.</t>
  </si>
  <si>
    <t xml:space="preserve">If an agent is a performer in the graph it should be a performer in the UI, or the model and the interface disagree.</t>
  </si>
  <si>
    <t xml:space="preserve">Agent and human work appear in the same tree and the same verify ledger, so an agent-first request is not a separate flow.</t>
  </si>
  <si>
    <t xml:space="preserve">WS 2.0's tiles make the agents discoverable in a way ours does not - a person browsing has no idea what agents exist.</t>
  </si>
  <si>
    <t xml:space="preserve">Rules at the point of need</t>
  </si>
  <si>
    <t xml:space="preserve">SOPs and playbooks in a drawer beside the conversation, and the relevant rule quoted on the card that needs it.</t>
  </si>
  <si>
    <t xml:space="preserve">A rule you have to remember is a rule that gets broken. Reference sits beside the work rather than in it, because it is read, not acted on.</t>
  </si>
  <si>
    <t xml:space="preserve">The escalation card cites SOP-15 by name, so the policy and the action are the same object.</t>
  </si>
  <si>
    <t xml:space="preserve">Capacity</t>
  </si>
  <si>
    <t xml:space="preserve">A capacity space for SWAT and a utilisation space for the expert, both stated as committed hours against quota.</t>
  </si>
  <si>
    <t xml:space="preserve">Allocation without capacity is guessing, and the person being allocated has a right to see the same number.</t>
  </si>
  <si>
    <t xml:space="preserve">Both sides see the same figure, which is what makes an offer arguable rather than imposed.</t>
  </si>
  <si>
    <t xml:space="preserve">List lifecycle</t>
  </si>
  <si>
    <t xml:space="preserve">Live / Drafts / Delivered / Archived as request states, with month grouping.</t>
  </si>
  <si>
    <t xml:space="preserve">Verify closes a room and retires it to an archive; the record and the conversation stay searchable.</t>
  </si>
  <si>
    <t xml:space="preserve">A room is an open loop rather than a place. When the loop shuts there is nothing left to say, so it should stop taking up attention.</t>
  </si>
  <si>
    <t xml:space="preserve">The list empties as you work rather than growing until it is abandoned.</t>
  </si>
  <si>
    <t xml:space="preserve">WS 2.0's four explicit states are clearer than our two, and Drafts exists there and barely here.</t>
  </si>
  <si>
    <t xml:space="preserve">Keeping a line in view</t>
  </si>
  <si>
    <t xml:space="preserve">Pin any message - a card, someone else's line, or your own - to the top of its room.</t>
  </si>
  <si>
    <t xml:space="preserve">A long room buries the one line that matters, and which line that is only the person in it can know.</t>
  </si>
  <si>
    <t xml:space="preserve">It works on any message rather than a blessed subset, because the app cannot know what is load-bearing for you.</t>
  </si>
  <si>
    <t xml:space="preserve">Search</t>
  </si>
  <si>
    <t xml:space="preserve">Per-list search plus a filter control.</t>
  </si>
  <si>
    <t xml:space="preserve">One search across rooms, people, money and archived work.</t>
  </si>
  <si>
    <t xml:space="preserve">If the list is scoped by tab, search must not be - otherwise you have to know where a thing is before you can look for it.</t>
  </si>
  <si>
    <t xml:space="preserve">Archived rooms stay findable, so closing a loop never loses the record.</t>
  </si>
  <si>
    <t xml:space="preserve">Bulk work</t>
  </si>
  <si>
    <t xml:space="preserve">Select All with Cancel, Pause, Delete and Duplicate across activities.</t>
  </si>
  <si>
    <t xml:space="preserve">Not built.</t>
  </si>
  <si>
    <t xml:space="preserve">WS 2.0 wins outright. At forty rows bulk is the difference between a tool and a chore.</t>
  </si>
  <si>
    <t xml:space="preserve">Reading the colours</t>
  </si>
  <si>
    <t xml:space="preserve">Grey = WS 2.0.  Blue = ours.  Amber in the last column = a point they still win. 10 of the 30 rows carry one; the rest read '-' because we could not find one, not because we did not look.</t>
  </si>
  <si>
    <t xml:space="preserve">SCREENS x FRAMEWORK B SURFACES   ·   the vision doc's own format, filled in from the build</t>
  </si>
  <si>
    <t xml:space="preserve">App</t>
  </si>
  <si>
    <t xml:space="preserve">Screen</t>
  </si>
  <si>
    <t xml:space="preserve">B1 · section nav</t>
  </si>
  <si>
    <t xml:space="preserve">B2 · list + context</t>
  </si>
  <si>
    <t xml:space="preserve">B3 · spaces</t>
  </si>
  <si>
    <t xml:space="preserve">B4 · conversation</t>
  </si>
  <si>
    <t xml:space="preserve">B5 · prompt</t>
  </si>
  <si>
    <t xml:space="preserve">B6 · ambient AI</t>
  </si>
  <si>
    <t xml:space="preserve">Home / workspace</t>
  </si>
  <si>
    <t xml:space="preserve">Home active</t>
  </si>
  <si>
    <t xml:space="preserve">Rooms, at-risk first; money as a rail item</t>
  </si>
  <si>
    <t xml:space="preserve">Morning brief tiles, plan, my requests</t>
  </si>
  <si>
    <t xml:space="preserve">The workspace agent stream</t>
  </si>
  <si>
    <t xml:space="preserve">Ask or act; scope = workspace</t>
  </si>
  <si>
    <t xml:space="preserve">Ranked decisions in the stream</t>
  </si>
  <si>
    <t xml:space="preserve">Request room</t>
  </si>
  <si>
    <t xml:space="preserve">Requests active</t>
  </si>
  <si>
    <t xml:space="preserve">This request selected; its assignments beneath</t>
  </si>
  <si>
    <t xml:space="preserve">Scope sheet, files, deliverables, instructions</t>
  </si>
  <si>
    <t xml:space="preserve">The request stream, both sides of the boundary</t>
  </si>
  <si>
    <t xml:space="preserve">Message; scope = request; boundary internal or client-visible</t>
  </si>
  <si>
    <t xml:space="preserve">Plan proposed, date at risk, delivery ready</t>
  </si>
  <si>
    <t xml:space="preserve">Delivery &amp; verify</t>
  </si>
  <si>
    <t xml:space="preserve">The delivered request</t>
  </si>
  <si>
    <t xml:space="preserve">Deliverables with versions and downloads</t>
  </si>
  <si>
    <t xml:space="preserve">Verify card in the stream</t>
  </si>
  <si>
    <t xml:space="preserve">Verify, flag an issue, request a revision</t>
  </si>
  <si>
    <t xml:space="preserve">Nothing bills until you verify</t>
  </si>
  <si>
    <t xml:space="preserve">Money</t>
  </si>
  <si>
    <t xml:space="preserve">Money active</t>
  </si>
  <si>
    <t xml:space="preserve">Wallet, work history, statements, tracker</t>
  </si>
  <si>
    <t xml:space="preserve">The open money section</t>
  </si>
  <si>
    <t xml:space="preserve">Money agent stream</t>
  </si>
  <si>
    <t xml:space="preserve">Ask about a bill; run a command</t>
  </si>
  <si>
    <t xml:space="preserve">Overdue, expiring credits, budget pace</t>
  </si>
  <si>
    <t xml:space="preserve">Retainer</t>
  </si>
  <si>
    <t xml:space="preserve">The engagement, its periods beneath</t>
  </si>
  <si>
    <t xml:space="preserve">Usage against commitment</t>
  </si>
  <si>
    <t xml:space="preserve">Period stream</t>
  </si>
  <si>
    <t xml:space="preserve">Message; scope = engagement</t>
  </si>
  <si>
    <t xml:space="preserve">Period closes in 9 days</t>
  </si>
  <si>
    <t xml:space="preserve">Home / my work</t>
  </si>
  <si>
    <t xml:space="preserve">Pinned SWAT, then the tree of what she holds</t>
  </si>
  <si>
    <t xml:space="preserve">My work table, utilisation, the plan</t>
  </si>
  <si>
    <t xml:space="preserve">The workspace stream</t>
  </si>
  <si>
    <t xml:space="preserve">Offer, unit change, QA fail</t>
  </si>
  <si>
    <t xml:space="preserve">Activity room</t>
  </si>
  <si>
    <t xml:space="preserve">My work active</t>
  </si>
  <si>
    <t xml:space="preserve">The activity, under its assignment and request</t>
  </si>
  <si>
    <t xml:space="preserve">Brief, plan, files, deliveries, log</t>
  </si>
  <si>
    <t xml:space="preserve">The activity stream, private strands inline</t>
  </si>
  <si>
    <t xml:space="preserve">Message; scope = owner / desk / peer / AI</t>
  </si>
  <si>
    <t xml:space="preserve">This will not clear 18:00</t>
  </si>
  <si>
    <t xml:space="preserve">Offer</t>
  </si>
  <si>
    <t xml:space="preserve">The offered activity</t>
  </si>
  <si>
    <t xml:space="preserve">The brief, before accepting</t>
  </si>
  <si>
    <t xml:space="preserve">Offer card with why-you and the clock</t>
  </si>
  <si>
    <t xml:space="preserve">Ask before accepting</t>
  </si>
  <si>
    <t xml:space="preserve">Re-proposes to Priya in 2h 39m</t>
  </si>
  <si>
    <t xml:space="preserve">Earnings</t>
  </si>
  <si>
    <t xml:space="preserve">Earnings, payouts, rate card</t>
  </si>
  <si>
    <t xml:space="preserve">Money stream</t>
  </si>
  <si>
    <t xml:space="preserve">Ask about a line or a payout</t>
  </si>
  <si>
    <t xml:space="preserve">Released, pending verify</t>
  </si>
  <si>
    <t xml:space="preserve">Archive</t>
  </si>
  <si>
    <t xml:space="preserve">Closed rooms, collapsed to a count</t>
  </si>
  <si>
    <t xml:space="preserve">The room as it was, read-only</t>
  </si>
  <si>
    <t xml:space="preserve">Disabled, with the reason</t>
  </si>
  <si>
    <t xml:space="preserve">Home / the floor</t>
  </si>
  <si>
    <t xml:space="preserve">Rooms at-risk first; intake pinned</t>
  </si>
  <si>
    <t xml:space="preserve">Floor brief, the floor list, upcoming</t>
  </si>
  <si>
    <t xml:space="preserve">Ask or act; scope = the floor</t>
  </si>
  <si>
    <t xml:space="preserve">6 need your hand</t>
  </si>
  <si>
    <t xml:space="preserve">Intake queue</t>
  </si>
  <si>
    <t xml:space="preserve">The queue, pinned</t>
  </si>
  <si>
    <t xml:space="preserve">Unmapped senders and raise-a-request as cards</t>
  </si>
  <si>
    <t xml:space="preserve">Message; scope = intake</t>
  </si>
  <si>
    <t xml:space="preserve">91% Nimbus - map or reject</t>
  </si>
  <si>
    <t xml:space="preserve">Request, its assignments and activities beneath</t>
  </si>
  <si>
    <t xml:space="preserve">Tree, plan, splitter, files, edit log</t>
  </si>
  <si>
    <t xml:space="preserve">The request stream, client boundary visible</t>
  </si>
  <si>
    <t xml:space="preserve">Message; scope = team / client / AI</t>
  </si>
  <si>
    <t xml:space="preserve">Ratify, stalled, verify pending</t>
  </si>
  <si>
    <t xml:space="preserve">Assignment room</t>
  </si>
  <si>
    <t xml:space="preserve">The assignment, its activities beneath</t>
  </si>
  <si>
    <t xml:space="preserve">Tree, files, log</t>
  </si>
  <si>
    <t xml:space="preserve">The assignment stream</t>
  </si>
  <si>
    <t xml:space="preserve">Message; scope = assignment</t>
  </si>
  <si>
    <t xml:space="preserve">The activity</t>
  </si>
  <si>
    <t xml:space="preserve">The activity stream</t>
  </si>
  <si>
    <t xml:space="preserve">Message; scope = activity</t>
  </si>
  <si>
    <t xml:space="preserve">Verify</t>
  </si>
  <si>
    <t xml:space="preserve">Verify active</t>
  </si>
  <si>
    <t xml:space="preserve">Hidden - the table takes the pane</t>
  </si>
  <si>
    <t xml:space="preserve">Replaced by the ledger</t>
  </si>
  <si>
    <t xml:space="preserve">Hidden</t>
  </si>
  <si>
    <t xml:space="preserve">Nothing bills before the tap</t>
  </si>
  <si>
    <t xml:space="preserve">Receivables, wallets, payouts, tracker</t>
  </si>
  <si>
    <t xml:space="preserve">Ask about a book</t>
  </si>
  <si>
    <t xml:space="preserve">Wallet below floor blocks intake</t>
  </si>
  <si>
    <t xml:space="preserve">Client room</t>
  </si>
  <si>
    <t xml:space="preserve">Clients active</t>
  </si>
  <si>
    <t xml:space="preserve">The client and its requests</t>
  </si>
  <si>
    <t xml:space="preserve">Client instructions</t>
  </si>
  <si>
    <t xml:space="preserve">The client stream, everything client-visible</t>
  </si>
  <si>
    <t xml:space="preserve">Message; scope = client</t>
  </si>
  <si>
    <t xml:space="preserve">Disputed a line</t>
  </si>
  <si>
    <t xml:space="preserve">People / capacity</t>
  </si>
  <si>
    <t xml:space="preserve">Team active</t>
  </si>
  <si>
    <t xml:space="preserve">People and agents</t>
  </si>
  <si>
    <t xml:space="preserve">The person stream</t>
  </si>
  <si>
    <t xml:space="preserve">Message; scope = person</t>
  </si>
  <si>
    <t xml:space="preserve">Over capacity</t>
  </si>
  <si>
    <t xml:space="preserve">Note</t>
  </si>
  <si>
    <t xml:space="preserve">B1 section nav · B2 list + context · B3 spaces summoned over the ground · B4 conversation (the ground) · B5 context-adaptive prompt with a scope indicator · B6 ambient AI. Source: WS3-framework-surfaces-vision.pdf. On mobile Framework B flips the ground: the list becomes the surface and the conversation a detented drawer.</t>
  </si>
  <si>
    <t xml:space="preserve">THE RULES ANY UI HERE MUST HONOUR   ·   each traced to its clause</t>
  </si>
  <si>
    <t xml:space="preserve">Rule</t>
  </si>
  <si>
    <t xml:space="preserve">What it forces in the UI</t>
  </si>
  <si>
    <t xml:space="preserve">Source</t>
  </si>
  <si>
    <t xml:space="preserve">R-01</t>
  </si>
  <si>
    <t xml:space="preserve">AI proposes, a human ratifies</t>
  </si>
  <si>
    <t xml:space="preserve">Nothing becomes an assignment without a human tap. No auto-start anywhere.</t>
  </si>
  <si>
    <t xml:space="preserve">PRD E6/E7, FR-7.1</t>
  </si>
  <si>
    <t xml:space="preserve">R-02</t>
  </si>
  <si>
    <t xml:space="preserve">Verify is the only commercial trigger</t>
  </si>
  <si>
    <t xml:space="preserve">Nothing bills before the tap. One billable event fans out to invoice and payout together.</t>
  </si>
  <si>
    <t xml:space="preserve">PRD E10/E11, FR-11.1, the D4 fix</t>
  </si>
  <si>
    <t xml:space="preserve">R-03</t>
  </si>
  <si>
    <t xml:space="preserve">A performer is paid off verified work</t>
  </si>
  <si>
    <t xml:space="preserve">Independent of whether the client has paid. A client dispute never claws back a verified payout.</t>
  </si>
  <si>
    <t xml:space="preserve">PRD FR-11.2, E13 F5</t>
  </si>
  <si>
    <t xml:space="preserve">R-04</t>
  </si>
  <si>
    <t xml:space="preserve">The client never sees who does the work</t>
  </si>
  <si>
    <t xml:space="preserve">Not the expert, not the sub-vendor. Milestones, never machinery.</t>
  </si>
  <si>
    <t xml:space="preserve">PRD E14, boundary rules</t>
  </si>
  <si>
    <t xml:space="preserve">R-05</t>
  </si>
  <si>
    <t xml:space="preserve">Roles attach per node, not per user</t>
  </si>
  <si>
    <t xml:space="preserve">One person can be the performer on an activity and the owner of the assignment above it. Access is computed per node.</t>
  </si>
  <si>
    <t xml:space="preserve">PRD S2, added 9 Aug</t>
  </si>
  <si>
    <t xml:space="preserve">R-06</t>
  </si>
  <si>
    <t xml:space="preserve">Deliver is the mandatory last activity</t>
  </si>
  <si>
    <t xml:space="preserve">Every assignment has one, minted automatically. It cannot be the thing you cancel.</t>
  </si>
  <si>
    <t xml:space="preserve">PRD E7, work graph</t>
  </si>
  <si>
    <t xml:space="preserve">R-07</t>
  </si>
  <si>
    <t xml:space="preserve">Wallet: deduct at create, settle at verify, refund on cancel</t>
  </si>
  <si>
    <t xml:space="preserve">Prepaid work is funded by credits; work beyond them falls to terms.</t>
  </si>
  <si>
    <t xml:space="preserve">PRD FR-11.4</t>
  </si>
  <si>
    <t xml:space="preserve">R-08</t>
  </si>
  <si>
    <t xml:space="preserve">A funded wallet is an intake precondition</t>
  </si>
  <si>
    <t xml:space="preserve">Publishing work that cannot be paid for is a false start. Negative balance is per-tenant config.</t>
  </si>
  <si>
    <t xml:space="preserve">PRD E11 edge cases</t>
  </si>
  <si>
    <t xml:space="preserve">R-09</t>
  </si>
  <si>
    <t xml:space="preserve">Rework is not new scope</t>
  </si>
  <si>
    <t xml:space="preserve">A QA round-trip adds no units and claws nothing back.</t>
  </si>
  <si>
    <t xml:space="preserve">PRD E9, FR-9.5</t>
  </si>
  <si>
    <t xml:space="preserve">R-10</t>
  </si>
  <si>
    <t xml:space="preserve">A fix is free, an addition is priced</t>
  </si>
  <si>
    <t xml:space="preserve">Stated before the client chooses, not after.</t>
  </si>
  <si>
    <t xml:space="preserve">PRD E13 F1</t>
  </si>
  <si>
    <t xml:space="preserve">R-11</t>
  </si>
  <si>
    <t xml:space="preserve">Reassignment fee-split; the workspace never funds the overrun</t>
  </si>
  <si>
    <t xml:space="preserve">An EZ rule expressed as config.</t>
  </si>
  <si>
    <t xml:space="preserve">PRD E13 F2</t>
  </si>
  <si>
    <t xml:space="preserve">R-12</t>
  </si>
  <si>
    <t xml:space="preserve">Cancel refunds, pause suspends billing</t>
  </si>
  <si>
    <t xml:space="preserve">Both are terminal or paused states the UI must show.</t>
  </si>
  <si>
    <t xml:space="preserve">PRD E13 F3</t>
  </si>
  <si>
    <t xml:space="preserve">R-13</t>
  </si>
  <si>
    <t xml:space="preserve">Goodwill fixes are a new linked assignment</t>
  </si>
  <si>
    <t xml:space="preserve">Never a reopening; the original billing is untouched.</t>
  </si>
  <si>
    <t xml:space="preserve">PRD E13 F4</t>
  </si>
  <si>
    <t xml:space="preserve">R-14</t>
  </si>
  <si>
    <t xml:space="preserve">Escalate before the breach, never after</t>
  </si>
  <si>
    <t xml:space="preserve">T-4h on a date at risk. The UI should make that the easy path.</t>
  </si>
  <si>
    <t xml:space="preserve">SOP-12</t>
  </si>
  <si>
    <t xml:space="preserve">R-15</t>
  </si>
  <si>
    <t xml:space="preserve">Units are the fact; the percentage is derived</t>
  </si>
  <si>
    <t xml:space="preserve">Nobody is asked to estimate a percentage.</t>
  </si>
  <si>
    <t xml:space="preserve">Design rule, this build</t>
  </si>
  <si>
    <t xml:space="preserve">R-16</t>
  </si>
  <si>
    <t xml:space="preserve">Every audience states its own visibility</t>
  </si>
  <si>
    <t xml:space="preserve">The prompt says who hears it before you send.</t>
  </si>
  <si>
    <t xml:space="preserve">R-17</t>
  </si>
  <si>
    <t xml:space="preserve">A room is an open loop</t>
  </si>
  <si>
    <t xml:space="preserve">Verify closes it; the record stays searchable.</t>
  </si>
  <si>
    <t xml:space="preserve">Design rule, 9 Aug</t>
  </si>
  <si>
    <t xml:space="preserve">R-18</t>
  </si>
  <si>
    <t xml:space="preserve">Files are pointers, bytes live in the enclave</t>
  </si>
  <si>
    <t xml:space="preserve">Brokered access with JIT credentials and expiry.</t>
  </si>
  <si>
    <t xml:space="preserve">PRD FR-11.8, security.md</t>
  </si>
  <si>
    <t xml:space="preserve">WHERE WE ARE BEHIND   ·   stated, not argued away</t>
  </si>
  <si>
    <t xml:space="preserve">Gap</t>
  </si>
  <si>
    <t xml:space="preserve">Who wins</t>
  </si>
  <si>
    <t xml:space="preserve">The position</t>
  </si>
  <si>
    <t xml:space="preserve">Status</t>
  </si>
  <si>
    <t xml:space="preserve">Scanning at volume</t>
  </si>
  <si>
    <t xml:space="preserve">WS 2.0 wins</t>
  </si>
  <si>
    <t xml:space="preserve">Their Live Requests table beats a chat list above roughly a dozen rows. We built a floor board for SWAT on 9 Aug and reverted it the same day at the user's call. The honest position is that this is unresolved, not solved.</t>
  </si>
  <si>
    <t xml:space="preserve">Open</t>
  </si>
  <si>
    <t xml:space="preserve">Bulk operations</t>
  </si>
  <si>
    <t xml:space="preserve">Select All with Cancel / Pause / Delete / Duplicate. We have none. At forty rows this is the difference between a tool and a chore.</t>
  </si>
  <si>
    <t xml:space="preserve">The Gantt</t>
  </si>
  <si>
    <t xml:space="preserve">Hour-level columns, a zoom control and tier filters. Ours is a strip with a today marker.</t>
  </si>
  <si>
    <t xml:space="preserve">Request lifecycle states</t>
  </si>
  <si>
    <t xml:space="preserve">Live / Drafts / Delivered / Archived. We have Draft and an archive, and no month grouping.</t>
  </si>
  <si>
    <t xml:space="preserve">Allocation UI</t>
  </si>
  <si>
    <t xml:space="preserve">Their Create Activity shows the candidate, their rating and their availability at the moment of choosing. We show none of it - the biggest single gap on the SWAT side.</t>
  </si>
  <si>
    <t xml:space="preserve">Timeline Manager</t>
  </si>
  <si>
    <t xml:space="preserve">WS 2.0 only</t>
  </si>
  <si>
    <t xml:space="preserve">On their request menu. We have no equivalent and have not established what it does.</t>
  </si>
  <si>
    <t xml:space="preserve">Unknown</t>
  </si>
  <si>
    <t xml:space="preserve">Agent discoverability</t>
  </si>
  <si>
    <t xml:space="preserve">Tools tiles on their home screen make the agents browsable. Ours only appear where already allocated.</t>
  </si>
  <si>
    <t xml:space="preserve">Ambient AI vs chat-first</t>
  </si>
  <si>
    <t xml:space="preserve">Tension with the PRD</t>
  </si>
  <si>
    <t xml:space="preserve">PRD S3 says 'Ambient AI, not a chatbot - AI appears inline as suggestions a human approves, never a separate assistant to converse with.' Every app we have built has a workspace agent you talk to. This is a deliberate departure and needs explicit sign-off rather than being discovered later.</t>
  </si>
  <si>
    <t xml:space="preserve">Needs a decision</t>
  </si>
  <si>
    <t xml:space="preserve">Cascade and invariants</t>
  </si>
  <si>
    <t xml:space="preserve">Our bug</t>
  </si>
  <si>
    <t xml:space="preserve">Cancelling an assignment leaves its activities live and its cost in the margin. Pausing does not cascade. The mandatory Deliver can be cancelled. Reproduced 9 Aug; fix parked.</t>
  </si>
  <si>
    <t xml:space="preserve">Known, parked</t>
  </si>
  <si>
    <t xml:space="preserve">Room lifecycle exits</t>
  </si>
  <si>
    <t xml:space="preserve">Our gap</t>
  </si>
  <si>
    <t xml:space="preserve">Verify is the only way a room closes. Cancel, pause, a declined offer and reassignment all leave a dead room behind.</t>
  </si>
  <si>
    <t xml:space="preserve">Intake edge cases</t>
  </si>
  <si>
    <t xml:space="preserve">Ambiguous sender disambiguation, email dedupe, and flagging a missing or past deadline before composing. Neither product does these.</t>
  </si>
  <si>
    <t xml:space="preserve">Expert availability</t>
  </si>
  <si>
    <t xml:space="preserve">Availability is a Pass-1 hard filter in allocation and neither product lets an expert set it.</t>
  </si>
  <si>
    <t xml:space="preserve">Feedback reaching the performer</t>
  </si>
  <si>
    <t xml:space="preserve">WS 2.0 captures a rating; nothing shows it to the person who earned it. We show it to SWAT only.</t>
  </si>
  <si>
    <t xml:space="preserve">Outcome / BOT billing</t>
  </si>
  <si>
    <t xml:space="preserve">Needs Joy's formula before it can have a UI.</t>
  </si>
  <si>
    <t xml:space="preserve">Blocked</t>
  </si>
  <si>
    <t xml:space="preserve">Dispute inbox</t>
  </si>
  <si>
    <t xml:space="preserve">The expert app raises unit disputes and timeline recommendations. Nothing in SWAT receives either. Asked for 7 Aug, still open.</t>
  </si>
  <si>
    <t xml:space="preserve">Why this tab exists</t>
  </si>
  <si>
    <t xml:space="preserve">A comparison with no losses in it is marketing. Six of these are places WS 2.0 is simply better today, two are our own bugs reproduced on 9 Aug, and one is a conflict between chat-first and the PRD's own 'ambient AI, not a chatbot' rule that needs a decision rather than a defence.</t>
  </si>
  <si>
    <t xml:space="preserve">SUMMARY   ·   every number here is a formula over tab 1, not a typed count</t>
  </si>
  <si>
    <t xml:space="preserve">Verdict by actor</t>
  </si>
  <si>
    <t xml:space="preserve">Total</t>
  </si>
  <si>
    <t xml:space="preserve">Green verdicts are ours to defend; 'WS 2.0 better' and 'Gap on both' are on tab 5.</t>
  </si>
  <si>
    <t xml:space="preserve">Build state by actor</t>
  </si>
  <si>
    <t xml:space="preserve">'Simulated' means the path exists in the prototype but is stubbed. 'No' rows are mostly the tab 5 gaps.</t>
  </si>
  <si>
    <t xml:space="preserve">Verdict by PRD stage</t>
  </si>
  <si>
    <t xml:space="preserve">Stages are the PRD's own lifecycle (docs/tenant-zero/spec.md, E1-E15). 'Cross' is anything that is not stage-bound.</t>
  </si>
  <si>
    <t xml:space="preserve">Headline</t>
  </si>
  <si>
    <t xml:space="preserve">Use cases in the project</t>
  </si>
  <si>
    <t xml:space="preserve">Built in a prototype today</t>
  </si>
  <si>
    <t xml:space="preserve">Where chat-first wins</t>
  </si>
  <si>
    <t xml:space="preserve">Of which have no WS 2.0 equivalent at all</t>
  </si>
  <si>
    <t xml:space="preserve">Where WS 2.0 wins</t>
  </si>
  <si>
    <t xml:space="preserve">Where neither product serves it</t>
  </si>
  <si>
    <t xml:space="preserve">Win rate, excluding out-of-scope and mutual gaps</t>
  </si>
  <si>
    <t xml:space="preserve">Components compared side by side</t>
  </si>
  <si>
    <t xml:space="preserve">Of those, points WS 2.0 still wins</t>
  </si>
  <si>
    <t xml:space="preserve">Screens mapped to B1-B6</t>
  </si>
  <si>
    <t xml:space="preserve">Invariants the UI must honour</t>
  </si>
  <si>
    <t xml:space="preserve">Gaps stated openly</t>
  </si>
  <si>
    <t xml:space="preserve">The last five numbers are counts of rows on tabs 2, 3, 4 and 5 as written by the build script; everything above them is a live COUNTIF over tab 1. Edit a verdict there and this tab moves.</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</si>
</sst>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11"/>
      <color rgb="FF112949"/>
      <name val="Arial"/>
      <family val="0"/>
      <charset val="1"/>
    </font>
    <font>
      <b val="true"/>
      <sz val="9"/>
      <color rgb="FF112949"/>
      <name val="Arial"/>
      <family val="0"/>
      <charset val="1"/>
    </font>
    <font>
      <sz val="9"/>
      <color rgb="FF1A1A1A"/>
      <name val="Arial"/>
      <family val="0"/>
      <charset val="1"/>
    </font>
    <font>
      <b val="true"/>
      <sz val="14"/>
      <color rgb="FFFFFFFF"/>
      <name val="Arial"/>
      <family val="0"/>
      <charset val="1"/>
    </font>
    <font>
      <b val="true"/>
      <sz val="9"/>
      <color rgb="FFFFFFFF"/>
      <name val="Arial"/>
      <family val="0"/>
      <charset val="1"/>
    </font>
    <font>
      <sz val="8.5"/>
      <color rgb="FF5A6472"/>
      <name val="Arial"/>
      <family val="0"/>
      <charset val="1"/>
    </font>
  </fonts>
  <fills count="10">
    <fill>
      <patternFill patternType="none"/>
    </fill>
    <fill>
      <patternFill patternType="gray125"/>
    </fill>
    <fill>
      <patternFill patternType="solid">
        <fgColor rgb="FFEA7B2C"/>
        <bgColor rgb="FFFF9900"/>
      </patternFill>
    </fill>
    <fill>
      <patternFill patternType="solid">
        <fgColor rgb="FFFDEEE2"/>
        <bgColor rgb="FFFEF5DC"/>
      </patternFill>
    </fill>
    <fill>
      <patternFill patternType="solid">
        <fgColor rgb="FF112949"/>
        <bgColor rgb="FF1A1A1A"/>
      </patternFill>
    </fill>
    <fill>
      <patternFill patternType="solid">
        <fgColor rgb="FFE2EEE7"/>
        <bgColor rgb="FFE4F6FD"/>
      </patternFill>
    </fill>
    <fill>
      <patternFill patternType="solid">
        <fgColor rgb="FFF2F4F7"/>
        <bgColor rgb="FFE4F6FD"/>
      </patternFill>
    </fill>
    <fill>
      <patternFill patternType="solid">
        <fgColor rgb="FFF7E4E3"/>
        <bgColor rgb="FFFDEEE2"/>
      </patternFill>
    </fill>
    <fill>
      <patternFill patternType="solid">
        <fgColor rgb="FFFEF5DC"/>
        <bgColor rgb="FFFDEEE2"/>
      </patternFill>
    </fill>
    <fill>
      <patternFill patternType="solid">
        <fgColor rgb="FFE4F6FD"/>
        <bgColor rgb="FFF2F4F7"/>
      </patternFill>
    </fill>
  </fills>
  <borders count="2">
    <border diagonalUp="false" diagonalDown="false">
      <left/>
      <right/>
      <top/>
      <bottom/>
      <diagonal/>
    </border>
    <border diagonalUp="false" diagonalDown="false">
      <left style="thin">
        <color rgb="FFD9DEE6"/>
      </left>
      <right style="thin">
        <color rgb="FFD9DEE6"/>
      </right>
      <top style="thin">
        <color rgb="FFD9DEE6"/>
      </top>
      <bottom style="thin">
        <color rgb="FFD9DE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center" textRotation="0" wrapText="fals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general" vertical="center" textRotation="0" wrapText="false" indent="1"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12949"/>
          <bgColor rgb="FF000000"/>
        </patternFill>
      </fill>
    </dxf>
    <dxf>
      <fill>
        <patternFill patternType="solid">
          <bgColor rgb="FF000000"/>
        </patternFill>
      </fill>
    </dxf>
    <dxf>
      <fill>
        <patternFill patternType="solid">
          <fgColor rgb="FFFFFFFF"/>
          <bgColor rgb="FF000000"/>
        </patternFill>
      </fill>
    </dxf>
    <dxf>
      <fill>
        <patternFill patternType="solid">
          <fgColor rgb="FF1A1A1A"/>
          <bgColor rgb="FF000000"/>
        </patternFill>
      </fill>
    </dxf>
    <dxf>
      <fill>
        <patternFill patternType="solid">
          <fgColor rgb="FFE2EEE7"/>
          <bgColor rgb="FF000000"/>
        </patternFill>
      </fill>
    </dxf>
    <dxf>
      <fill>
        <patternFill patternType="solid">
          <fgColor rgb="FFF2F4F7"/>
          <bgColor rgb="FF000000"/>
        </patternFill>
      </fill>
    </dxf>
    <dxf>
      <fill>
        <patternFill patternType="solid">
          <fgColor rgb="FFF7E4E3"/>
          <bgColor rgb="FF000000"/>
        </patternFill>
      </fill>
    </dxf>
    <dxf>
      <fill>
        <patternFill patternType="solid">
          <fgColor rgb="FFFEF5D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5DC"/>
      <rgbColor rgb="FFE4F6FD"/>
      <rgbColor rgb="FF660066"/>
      <rgbColor rgb="FFFF8080"/>
      <rgbColor rgb="FF0066CC"/>
      <rgbColor rgb="FFD9DEE6"/>
      <rgbColor rgb="FF000080"/>
      <rgbColor rgb="FFFF00FF"/>
      <rgbColor rgb="FFFFFF00"/>
      <rgbColor rgb="FF00FFFF"/>
      <rgbColor rgb="FF800080"/>
      <rgbColor rgb="FF800000"/>
      <rgbColor rgb="FF008080"/>
      <rgbColor rgb="FF0000FF"/>
      <rgbColor rgb="FF00CCFF"/>
      <rgbColor rgb="FFE2EEE7"/>
      <rgbColor rgb="FFF2F4F7"/>
      <rgbColor rgb="FFFDEEE2"/>
      <rgbColor rgb="FF99CCFF"/>
      <rgbColor rgb="FFFF99CC"/>
      <rgbColor rgb="FFCC99FF"/>
      <rgbColor rgb="FFF7E4E3"/>
      <rgbColor rgb="FF3366FF"/>
      <rgbColor rgb="FF33CCCC"/>
      <rgbColor rgb="FF99CC00"/>
      <rgbColor rgb="FFFFCC00"/>
      <rgbColor rgb="FFFF9900"/>
      <rgbColor rgb="FFEA7B2C"/>
      <rgbColor rgb="FF5A6472"/>
      <rgbColor rgb="FF969696"/>
      <rgbColor rgb="FF112949"/>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116"/>
  </cols>
  <sheetData>
    <row r="1" customFormat="false" ht="25.5" hidden="false" customHeight="true" outlineLevel="0" collapsed="false">
      <c r="A1" s="1" t="s">
        <v>0</v>
      </c>
      <c r="B1" s="1"/>
      <c r="C1" s="1"/>
    </row>
    <row r="3" customFormat="false" ht="15" hidden="false" customHeight="false" outlineLevel="0" collapsed="false">
      <c r="B3" s="2" t="s">
        <v>1</v>
      </c>
    </row>
    <row r="4" customFormat="false" ht="31.5" hidden="false" customHeight="true" outlineLevel="0" collapsed="false">
      <c r="B4" s="3" t="s">
        <v>2</v>
      </c>
      <c r="C4" s="4" t="s">
        <v>3</v>
      </c>
    </row>
    <row r="5" customFormat="false" ht="31.5" hidden="false" customHeight="true" outlineLevel="0" collapsed="false">
      <c r="B5" s="3" t="s">
        <v>4</v>
      </c>
      <c r="C5" s="4" t="s">
        <v>5</v>
      </c>
    </row>
    <row r="6" customFormat="false" ht="31.5" hidden="false" customHeight="true" outlineLevel="0" collapsed="false">
      <c r="B6" s="3" t="s">
        <v>6</v>
      </c>
      <c r="C6" s="4" t="s">
        <v>7</v>
      </c>
    </row>
    <row r="8" customFormat="false" ht="15" hidden="false" customHeight="false" outlineLevel="0" collapsed="false">
      <c r="B8" s="2" t="s">
        <v>8</v>
      </c>
    </row>
    <row r="9" customFormat="false" ht="31.5" hidden="false" customHeight="true" outlineLevel="0" collapsed="false">
      <c r="B9" s="3" t="s">
        <v>9</v>
      </c>
      <c r="C9" s="4" t="s">
        <v>10</v>
      </c>
    </row>
    <row r="10" customFormat="false" ht="31.5" hidden="false" customHeight="true" outlineLevel="0" collapsed="false">
      <c r="B10" s="3" t="s">
        <v>11</v>
      </c>
      <c r="C10" s="4" t="s">
        <v>12</v>
      </c>
    </row>
    <row r="11" customFormat="false" ht="31.5" hidden="false" customHeight="true" outlineLevel="0" collapsed="false">
      <c r="B11" s="3" t="s">
        <v>13</v>
      </c>
      <c r="C11" s="4" t="s">
        <v>14</v>
      </c>
    </row>
    <row r="12" customFormat="false" ht="31.5" hidden="false" customHeight="true" outlineLevel="0" collapsed="false">
      <c r="B12" s="3" t="s">
        <v>15</v>
      </c>
      <c r="C12" s="4" t="s">
        <v>16</v>
      </c>
    </row>
    <row r="13" customFormat="false" ht="31.5" hidden="false" customHeight="true" outlineLevel="0" collapsed="false">
      <c r="B13" s="3" t="s">
        <v>17</v>
      </c>
      <c r="C13" s="4" t="s">
        <v>18</v>
      </c>
    </row>
    <row r="14" customFormat="false" ht="31.5" hidden="false" customHeight="true" outlineLevel="0" collapsed="false">
      <c r="B14" s="3" t="s">
        <v>19</v>
      </c>
      <c r="C14" s="4" t="s">
        <v>20</v>
      </c>
    </row>
    <row r="16" customFormat="false" ht="15" hidden="false" customHeight="false" outlineLevel="0" collapsed="false">
      <c r="B16" s="2" t="s">
        <v>21</v>
      </c>
    </row>
    <row r="17" customFormat="false" ht="31.5" hidden="false" customHeight="true" outlineLevel="0" collapsed="false">
      <c r="B17" s="3" t="s">
        <v>22</v>
      </c>
      <c r="C17" s="4" t="s">
        <v>23</v>
      </c>
    </row>
    <row r="18" customFormat="false" ht="31.5" hidden="false" customHeight="true" outlineLevel="0" collapsed="false">
      <c r="B18" s="3" t="s">
        <v>24</v>
      </c>
      <c r="C18" s="4" t="s">
        <v>25</v>
      </c>
    </row>
    <row r="19" customFormat="false" ht="31.5" hidden="false" customHeight="true" outlineLevel="0" collapsed="false">
      <c r="B19" s="3" t="s">
        <v>26</v>
      </c>
      <c r="C19" s="4" t="s">
        <v>27</v>
      </c>
    </row>
    <row r="20" customFormat="false" ht="31.5" hidden="false" customHeight="true" outlineLevel="0" collapsed="false">
      <c r="B20" s="3" t="s">
        <v>28</v>
      </c>
      <c r="C20" s="4" t="s">
        <v>29</v>
      </c>
    </row>
    <row r="21" customFormat="false" ht="31.5" hidden="false" customHeight="true" outlineLevel="0" collapsed="false">
      <c r="B21" s="3" t="s">
        <v>30</v>
      </c>
      <c r="C21" s="4" t="s">
        <v>31</v>
      </c>
    </row>
    <row r="22" customFormat="false" ht="31.5" hidden="false" customHeight="true" outlineLevel="0" collapsed="false">
      <c r="B22" s="3" t="s">
        <v>32</v>
      </c>
      <c r="C22" s="4" t="s">
        <v>33</v>
      </c>
    </row>
    <row r="24" customFormat="false" ht="15" hidden="false" customHeight="false" outlineLevel="0" collapsed="false">
      <c r="B24" s="2" t="s">
        <v>34</v>
      </c>
    </row>
    <row r="25" customFormat="false" ht="31.5" hidden="false" customHeight="true" outlineLevel="0" collapsed="false">
      <c r="B25" s="3" t="s">
        <v>35</v>
      </c>
      <c r="C25" s="4" t="s">
        <v>36</v>
      </c>
    </row>
    <row r="26" customFormat="false" ht="31.5" hidden="false" customHeight="true" outlineLevel="0" collapsed="false">
      <c r="B26" s="3" t="s">
        <v>37</v>
      </c>
      <c r="C26" s="4" t="s">
        <v>38</v>
      </c>
    </row>
    <row r="27" customFormat="false" ht="31.5" hidden="false" customHeight="true" outlineLevel="0" collapsed="false">
      <c r="B27" s="3" t="s">
        <v>39</v>
      </c>
      <c r="C27" s="4" t="s">
        <v>40</v>
      </c>
    </row>
    <row r="28" customFormat="false" ht="31.5" hidden="false" customHeight="true" outlineLevel="0" collapsed="false">
      <c r="B28" s="3" t="s">
        <v>41</v>
      </c>
      <c r="C28" s="4" t="s">
        <v>42</v>
      </c>
    </row>
    <row r="29" customFormat="false" ht="31.5" hidden="false" customHeight="true" outlineLevel="0" collapsed="false">
      <c r="B29" s="3" t="s">
        <v>43</v>
      </c>
      <c r="C29" s="4" t="s">
        <v>44</v>
      </c>
    </row>
    <row r="31" customFormat="false" ht="15" hidden="false" customHeight="false" outlineLevel="0" collapsed="false">
      <c r="B31" s="2" t="s">
        <v>45</v>
      </c>
    </row>
    <row r="32" customFormat="false" ht="31.5" hidden="false" customHeight="true" outlineLevel="0" collapsed="false">
      <c r="B32" s="3" t="s">
        <v>46</v>
      </c>
      <c r="C32" s="4" t="s">
        <v>47</v>
      </c>
    </row>
    <row r="33" customFormat="false" ht="31.5" hidden="false" customHeight="true" outlineLevel="0" collapsed="false">
      <c r="B33" s="3" t="s">
        <v>48</v>
      </c>
      <c r="C33" s="4" t="s">
        <v>49</v>
      </c>
    </row>
    <row r="34" customFormat="false" ht="31.5" hidden="false" customHeight="true" outlineLevel="0" collapsed="false">
      <c r="B34" s="3" t="s">
        <v>50</v>
      </c>
      <c r="C34" s="4" t="s">
        <v>51</v>
      </c>
    </row>
    <row r="35" customFormat="false" ht="31.5" hidden="false" customHeight="true" outlineLevel="0" collapsed="false">
      <c r="B35" s="3" t="s">
        <v>52</v>
      </c>
      <c r="C35" s="4" t="s">
        <v>53</v>
      </c>
    </row>
    <row r="37" customFormat="false" ht="15" hidden="false" customHeight="false" outlineLevel="0" collapsed="false">
      <c r="B37" s="2" t="s">
        <v>54</v>
      </c>
    </row>
    <row r="38" customFormat="false" ht="31.5" hidden="false" customHeight="true" outlineLevel="0" collapsed="false">
      <c r="B38" s="3" t="s">
        <v>55</v>
      </c>
      <c r="C38" s="4" t="s">
        <v>56</v>
      </c>
    </row>
    <row r="39" customFormat="false" ht="31.5" hidden="false" customHeight="true" outlineLevel="0" collapsed="false">
      <c r="B39" s="3" t="s">
        <v>57</v>
      </c>
      <c r="C39" s="4" t="s">
        <v>58</v>
      </c>
    </row>
    <row r="40" customFormat="false" ht="31.5" hidden="false" customHeight="true" outlineLevel="0" collapsed="false">
      <c r="B40" s="3" t="s">
        <v>59</v>
      </c>
      <c r="C40" s="4" t="s">
        <v>60</v>
      </c>
    </row>
    <row r="41" customFormat="false" ht="31.5" hidden="false" customHeight="true" outlineLevel="0" collapsed="false">
      <c r="B41" s="3" t="s">
        <v>61</v>
      </c>
      <c r="C41" s="4" t="s">
        <v>62</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4"/>
    <col collapsed="false" customWidth="true" hidden="false" outlineLevel="0" max="4" min="4" style="0" width="40"/>
    <col collapsed="false" customWidth="true" hidden="false" outlineLevel="0" max="5" min="5" style="0" width="52"/>
    <col collapsed="false" customWidth="true" hidden="false" outlineLevel="0" max="6" min="6" style="0" width="17"/>
    <col collapsed="false" customWidth="true" hidden="false" outlineLevel="0" max="7" min="7" style="0" width="34"/>
    <col collapsed="false" customWidth="true" hidden="false" outlineLevel="0" max="8" min="8" style="0" width="13"/>
    <col collapsed="false" customWidth="true" hidden="false" outlineLevel="0" max="9" min="9" style="0" width="46"/>
    <col collapsed="false" customWidth="true" hidden="false" outlineLevel="0" max="10" min="10" style="0" width="13"/>
    <col collapsed="false" customWidth="true" hidden="false" outlineLevel="0" max="11" min="11" style="0" width="10"/>
  </cols>
  <sheetData>
    <row r="1" customFormat="false" ht="25.5" hidden="false" customHeight="true" outlineLevel="0" collapsed="false">
      <c r="A1" s="5" t="s">
        <v>63</v>
      </c>
      <c r="B1" s="5"/>
      <c r="C1" s="5"/>
      <c r="D1" s="5"/>
      <c r="E1" s="5"/>
      <c r="F1" s="5"/>
      <c r="G1" s="5"/>
      <c r="H1" s="5"/>
      <c r="I1" s="5"/>
      <c r="J1" s="5"/>
      <c r="K1" s="5"/>
    </row>
    <row r="2" customFormat="false" ht="30" hidden="false" customHeight="true" outlineLevel="0" collapsed="false">
      <c r="A2" s="6" t="s">
        <v>64</v>
      </c>
      <c r="B2" s="6" t="s">
        <v>65</v>
      </c>
      <c r="C2" s="6" t="s">
        <v>66</v>
      </c>
      <c r="D2" s="6" t="s">
        <v>67</v>
      </c>
      <c r="E2" s="6" t="s">
        <v>68</v>
      </c>
      <c r="F2" s="6" t="s">
        <v>69</v>
      </c>
      <c r="G2" s="6" t="s">
        <v>70</v>
      </c>
      <c r="H2" s="6" t="s">
        <v>71</v>
      </c>
      <c r="I2" s="6" t="s">
        <v>72</v>
      </c>
      <c r="J2" s="6" t="s">
        <v>73</v>
      </c>
      <c r="K2" s="6" t="s">
        <v>74</v>
      </c>
    </row>
    <row r="3" customFormat="false" ht="43.5" hidden="false" customHeight="true" outlineLevel="0" collapsed="false">
      <c r="A3" s="7" t="s">
        <v>75</v>
      </c>
      <c r="B3" s="4" t="s">
        <v>76</v>
      </c>
      <c r="C3" s="4" t="s">
        <v>77</v>
      </c>
      <c r="D3" s="4" t="s">
        <v>78</v>
      </c>
      <c r="E3" s="4" t="s">
        <v>79</v>
      </c>
      <c r="F3" s="4" t="s">
        <v>80</v>
      </c>
      <c r="G3" s="4" t="s">
        <v>81</v>
      </c>
      <c r="H3" s="4" t="s">
        <v>82</v>
      </c>
      <c r="I3" s="4" t="s">
        <v>83</v>
      </c>
      <c r="J3" s="8" t="s">
        <v>24</v>
      </c>
      <c r="K3" s="8" t="s">
        <v>84</v>
      </c>
    </row>
    <row r="4" customFormat="false" ht="43.5" hidden="false" customHeight="true" outlineLevel="0" collapsed="false">
      <c r="A4" s="7" t="s">
        <v>85</v>
      </c>
      <c r="B4" s="4" t="s">
        <v>76</v>
      </c>
      <c r="C4" s="4" t="s">
        <v>77</v>
      </c>
      <c r="D4" s="4" t="s">
        <v>86</v>
      </c>
      <c r="E4" s="4" t="s">
        <v>87</v>
      </c>
      <c r="F4" s="4" t="s">
        <v>88</v>
      </c>
      <c r="G4" s="4" t="s">
        <v>89</v>
      </c>
      <c r="H4" s="4" t="s">
        <v>90</v>
      </c>
      <c r="I4" s="4" t="s">
        <v>91</v>
      </c>
      <c r="J4" s="9" t="s">
        <v>26</v>
      </c>
      <c r="K4" s="8" t="s">
        <v>84</v>
      </c>
    </row>
    <row r="5" customFormat="false" ht="43.5" hidden="false" customHeight="true" outlineLevel="0" collapsed="false">
      <c r="A5" s="7" t="s">
        <v>92</v>
      </c>
      <c r="B5" s="4" t="s">
        <v>76</v>
      </c>
      <c r="C5" s="4" t="s">
        <v>77</v>
      </c>
      <c r="D5" s="4" t="s">
        <v>93</v>
      </c>
      <c r="E5" s="4" t="s">
        <v>94</v>
      </c>
      <c r="F5" s="4" t="s">
        <v>80</v>
      </c>
      <c r="G5" s="4" t="s">
        <v>95</v>
      </c>
      <c r="H5" s="4" t="s">
        <v>82</v>
      </c>
      <c r="I5" s="4" t="s">
        <v>96</v>
      </c>
      <c r="J5" s="9" t="s">
        <v>26</v>
      </c>
      <c r="K5" s="8" t="s">
        <v>84</v>
      </c>
    </row>
    <row r="6" customFormat="false" ht="43.5" hidden="false" customHeight="true" outlineLevel="0" collapsed="false">
      <c r="A6" s="7" t="s">
        <v>97</v>
      </c>
      <c r="B6" s="4" t="s">
        <v>76</v>
      </c>
      <c r="C6" s="4" t="s">
        <v>77</v>
      </c>
      <c r="D6" s="4" t="s">
        <v>98</v>
      </c>
      <c r="E6" s="4" t="s">
        <v>99</v>
      </c>
      <c r="F6" s="4" t="s">
        <v>88</v>
      </c>
      <c r="G6" s="4" t="s">
        <v>100</v>
      </c>
      <c r="H6" s="4" t="s">
        <v>82</v>
      </c>
      <c r="I6" s="4" t="s">
        <v>101</v>
      </c>
      <c r="J6" s="10" t="s">
        <v>28</v>
      </c>
      <c r="K6" s="11" t="s">
        <v>102</v>
      </c>
    </row>
    <row r="7" customFormat="false" ht="43.5" hidden="false" customHeight="true" outlineLevel="0" collapsed="false">
      <c r="A7" s="7" t="s">
        <v>103</v>
      </c>
      <c r="B7" s="4" t="s">
        <v>76</v>
      </c>
      <c r="C7" s="4" t="s">
        <v>77</v>
      </c>
      <c r="D7" s="4" t="s">
        <v>104</v>
      </c>
      <c r="E7" s="4" t="s">
        <v>105</v>
      </c>
      <c r="F7" s="4" t="s">
        <v>106</v>
      </c>
      <c r="G7" s="4" t="s">
        <v>107</v>
      </c>
      <c r="H7" s="4" t="s">
        <v>82</v>
      </c>
      <c r="I7" s="4" t="s">
        <v>108</v>
      </c>
      <c r="J7" s="9" t="s">
        <v>26</v>
      </c>
      <c r="K7" s="11" t="s">
        <v>109</v>
      </c>
    </row>
    <row r="8" customFormat="false" ht="43.5" hidden="false" customHeight="true" outlineLevel="0" collapsed="false">
      <c r="A8" s="7" t="s">
        <v>110</v>
      </c>
      <c r="B8" s="4" t="s">
        <v>76</v>
      </c>
      <c r="C8" s="4" t="s">
        <v>77</v>
      </c>
      <c r="D8" s="4" t="s">
        <v>111</v>
      </c>
      <c r="E8" s="4" t="s">
        <v>112</v>
      </c>
      <c r="F8" s="4" t="s">
        <v>88</v>
      </c>
      <c r="G8" s="4" t="s">
        <v>113</v>
      </c>
      <c r="H8" s="4" t="s">
        <v>114</v>
      </c>
      <c r="I8" s="4" t="s">
        <v>115</v>
      </c>
      <c r="J8" s="10" t="s">
        <v>28</v>
      </c>
      <c r="K8" s="7" t="s">
        <v>116</v>
      </c>
    </row>
    <row r="9" customFormat="false" ht="43.5" hidden="false" customHeight="true" outlineLevel="0" collapsed="false">
      <c r="A9" s="7" t="s">
        <v>117</v>
      </c>
      <c r="B9" s="4" t="s">
        <v>76</v>
      </c>
      <c r="C9" s="4" t="s">
        <v>118</v>
      </c>
      <c r="D9" s="4" t="s">
        <v>119</v>
      </c>
      <c r="E9" s="4" t="s">
        <v>120</v>
      </c>
      <c r="F9" s="4" t="s">
        <v>88</v>
      </c>
      <c r="G9" s="4" t="s">
        <v>121</v>
      </c>
      <c r="H9" s="4" t="s">
        <v>90</v>
      </c>
      <c r="I9" s="4" t="s">
        <v>122</v>
      </c>
      <c r="J9" s="8" t="s">
        <v>24</v>
      </c>
      <c r="K9" s="8" t="s">
        <v>84</v>
      </c>
    </row>
    <row r="10" customFormat="false" ht="43.5" hidden="false" customHeight="true" outlineLevel="0" collapsed="false">
      <c r="A10" s="7" t="s">
        <v>123</v>
      </c>
      <c r="B10" s="4" t="s">
        <v>76</v>
      </c>
      <c r="C10" s="4" t="s">
        <v>118</v>
      </c>
      <c r="D10" s="4" t="s">
        <v>124</v>
      </c>
      <c r="E10" s="4" t="s">
        <v>125</v>
      </c>
      <c r="F10" s="4" t="s">
        <v>106</v>
      </c>
      <c r="G10" s="4" t="s">
        <v>126</v>
      </c>
      <c r="H10" s="4" t="s">
        <v>82</v>
      </c>
      <c r="I10" s="4" t="s">
        <v>127</v>
      </c>
      <c r="J10" s="8" t="s">
        <v>24</v>
      </c>
      <c r="K10" s="8" t="s">
        <v>84</v>
      </c>
    </row>
    <row r="11" customFormat="false" ht="43.5" hidden="false" customHeight="true" outlineLevel="0" collapsed="false">
      <c r="A11" s="7" t="s">
        <v>128</v>
      </c>
      <c r="B11" s="4" t="s">
        <v>76</v>
      </c>
      <c r="C11" s="4" t="s">
        <v>118</v>
      </c>
      <c r="D11" s="4" t="s">
        <v>129</v>
      </c>
      <c r="E11" s="4" t="s">
        <v>130</v>
      </c>
      <c r="F11" s="4" t="s">
        <v>88</v>
      </c>
      <c r="G11" s="4" t="s">
        <v>131</v>
      </c>
      <c r="H11" s="4" t="s">
        <v>90</v>
      </c>
      <c r="I11" s="4" t="s">
        <v>132</v>
      </c>
      <c r="J11" s="9" t="s">
        <v>26</v>
      </c>
      <c r="K11" s="11" t="s">
        <v>102</v>
      </c>
    </row>
    <row r="12" customFormat="false" ht="43.5" hidden="false" customHeight="true" outlineLevel="0" collapsed="false">
      <c r="A12" s="7" t="s">
        <v>133</v>
      </c>
      <c r="B12" s="4" t="s">
        <v>76</v>
      </c>
      <c r="C12" s="4" t="s">
        <v>134</v>
      </c>
      <c r="D12" s="4" t="s">
        <v>135</v>
      </c>
      <c r="E12" s="4" t="s">
        <v>136</v>
      </c>
      <c r="F12" s="4" t="s">
        <v>137</v>
      </c>
      <c r="G12" s="4" t="s">
        <v>138</v>
      </c>
      <c r="H12" s="4" t="s">
        <v>82</v>
      </c>
      <c r="I12" s="4" t="s">
        <v>139</v>
      </c>
      <c r="J12" s="9" t="s">
        <v>26</v>
      </c>
      <c r="K12" s="8" t="s">
        <v>84</v>
      </c>
    </row>
    <row r="13" customFormat="false" ht="43.5" hidden="false" customHeight="true" outlineLevel="0" collapsed="false">
      <c r="A13" s="7" t="s">
        <v>140</v>
      </c>
      <c r="B13" s="4" t="s">
        <v>76</v>
      </c>
      <c r="C13" s="4" t="s">
        <v>134</v>
      </c>
      <c r="D13" s="4" t="s">
        <v>141</v>
      </c>
      <c r="E13" s="4" t="s">
        <v>142</v>
      </c>
      <c r="F13" s="4" t="s">
        <v>106</v>
      </c>
      <c r="G13" s="4" t="s">
        <v>143</v>
      </c>
      <c r="H13" s="4" t="s">
        <v>82</v>
      </c>
      <c r="I13" s="4" t="s">
        <v>144</v>
      </c>
      <c r="J13" s="8" t="s">
        <v>24</v>
      </c>
      <c r="K13" s="8" t="s">
        <v>84</v>
      </c>
    </row>
    <row r="14" customFormat="false" ht="43.5" hidden="false" customHeight="true" outlineLevel="0" collapsed="false">
      <c r="A14" s="7" t="s">
        <v>145</v>
      </c>
      <c r="B14" s="4" t="s">
        <v>76</v>
      </c>
      <c r="C14" s="4" t="s">
        <v>134</v>
      </c>
      <c r="D14" s="4" t="s">
        <v>146</v>
      </c>
      <c r="E14" s="4" t="s">
        <v>147</v>
      </c>
      <c r="F14" s="4" t="s">
        <v>148</v>
      </c>
      <c r="G14" s="4" t="s">
        <v>149</v>
      </c>
      <c r="H14" s="4" t="s">
        <v>82</v>
      </c>
      <c r="I14" s="4" t="s">
        <v>150</v>
      </c>
      <c r="J14" s="8" t="s">
        <v>24</v>
      </c>
      <c r="K14" s="8" t="s">
        <v>84</v>
      </c>
    </row>
    <row r="15" customFormat="false" ht="43.5" hidden="false" customHeight="true" outlineLevel="0" collapsed="false">
      <c r="A15" s="7" t="s">
        <v>151</v>
      </c>
      <c r="B15" s="4" t="s">
        <v>76</v>
      </c>
      <c r="C15" s="4" t="s">
        <v>134</v>
      </c>
      <c r="D15" s="4" t="s">
        <v>152</v>
      </c>
      <c r="E15" s="4" t="s">
        <v>153</v>
      </c>
      <c r="F15" s="4" t="s">
        <v>80</v>
      </c>
      <c r="G15" s="4" t="s">
        <v>154</v>
      </c>
      <c r="H15" s="4" t="s">
        <v>82</v>
      </c>
      <c r="I15" s="4" t="s">
        <v>155</v>
      </c>
      <c r="J15" s="9" t="s">
        <v>26</v>
      </c>
      <c r="K15" s="8" t="s">
        <v>84</v>
      </c>
    </row>
    <row r="16" customFormat="false" ht="43.5" hidden="false" customHeight="true" outlineLevel="0" collapsed="false">
      <c r="A16" s="7" t="s">
        <v>156</v>
      </c>
      <c r="B16" s="4" t="s">
        <v>76</v>
      </c>
      <c r="C16" s="4" t="s">
        <v>157</v>
      </c>
      <c r="D16" s="4" t="s">
        <v>158</v>
      </c>
      <c r="E16" s="4" t="s">
        <v>159</v>
      </c>
      <c r="F16" s="4" t="s">
        <v>88</v>
      </c>
      <c r="G16" s="4" t="s">
        <v>160</v>
      </c>
      <c r="H16" s="4" t="s">
        <v>90</v>
      </c>
      <c r="I16" s="4" t="s">
        <v>161</v>
      </c>
      <c r="J16" s="9" t="s">
        <v>26</v>
      </c>
      <c r="K16" s="8" t="s">
        <v>84</v>
      </c>
    </row>
    <row r="17" customFormat="false" ht="43.5" hidden="false" customHeight="true" outlineLevel="0" collapsed="false">
      <c r="A17" s="7" t="s">
        <v>162</v>
      </c>
      <c r="B17" s="4" t="s">
        <v>76</v>
      </c>
      <c r="C17" s="4" t="s">
        <v>157</v>
      </c>
      <c r="D17" s="4" t="s">
        <v>163</v>
      </c>
      <c r="E17" s="4" t="s">
        <v>164</v>
      </c>
      <c r="F17" s="4" t="s">
        <v>106</v>
      </c>
      <c r="G17" s="4" t="s">
        <v>165</v>
      </c>
      <c r="H17" s="4" t="s">
        <v>82</v>
      </c>
      <c r="I17" s="4" t="s">
        <v>166</v>
      </c>
      <c r="J17" s="8" t="s">
        <v>24</v>
      </c>
      <c r="K17" s="8" t="s">
        <v>84</v>
      </c>
    </row>
    <row r="18" customFormat="false" ht="43.5" hidden="false" customHeight="true" outlineLevel="0" collapsed="false">
      <c r="A18" s="7" t="s">
        <v>167</v>
      </c>
      <c r="B18" s="4" t="s">
        <v>76</v>
      </c>
      <c r="C18" s="4" t="s">
        <v>157</v>
      </c>
      <c r="D18" s="4" t="s">
        <v>168</v>
      </c>
      <c r="E18" s="4" t="s">
        <v>169</v>
      </c>
      <c r="F18" s="4" t="s">
        <v>106</v>
      </c>
      <c r="G18" s="4" t="s">
        <v>170</v>
      </c>
      <c r="H18" s="4" t="s">
        <v>82</v>
      </c>
      <c r="I18" s="4" t="s">
        <v>171</v>
      </c>
      <c r="J18" s="8" t="s">
        <v>22</v>
      </c>
      <c r="K18" s="8" t="s">
        <v>84</v>
      </c>
    </row>
    <row r="19" customFormat="false" ht="43.5" hidden="false" customHeight="true" outlineLevel="0" collapsed="false">
      <c r="A19" s="7" t="s">
        <v>172</v>
      </c>
      <c r="B19" s="4" t="s">
        <v>76</v>
      </c>
      <c r="C19" s="4" t="s">
        <v>157</v>
      </c>
      <c r="D19" s="4" t="s">
        <v>173</v>
      </c>
      <c r="E19" s="4" t="s">
        <v>174</v>
      </c>
      <c r="F19" s="4" t="s">
        <v>106</v>
      </c>
      <c r="G19" s="4" t="s">
        <v>175</v>
      </c>
      <c r="H19" s="4" t="s">
        <v>82</v>
      </c>
      <c r="I19" s="4" t="s">
        <v>176</v>
      </c>
      <c r="J19" s="8" t="s">
        <v>22</v>
      </c>
      <c r="K19" s="8" t="s">
        <v>84</v>
      </c>
    </row>
    <row r="20" customFormat="false" ht="43.5" hidden="false" customHeight="true" outlineLevel="0" collapsed="false">
      <c r="A20" s="7" t="s">
        <v>177</v>
      </c>
      <c r="B20" s="4" t="s">
        <v>76</v>
      </c>
      <c r="C20" s="4" t="s">
        <v>157</v>
      </c>
      <c r="D20" s="4" t="s">
        <v>178</v>
      </c>
      <c r="E20" s="4" t="s">
        <v>179</v>
      </c>
      <c r="F20" s="4" t="s">
        <v>106</v>
      </c>
      <c r="G20" s="4" t="s">
        <v>180</v>
      </c>
      <c r="H20" s="4" t="s">
        <v>82</v>
      </c>
      <c r="I20" s="4" t="s">
        <v>181</v>
      </c>
      <c r="J20" s="9" t="s">
        <v>26</v>
      </c>
      <c r="K20" s="8" t="s">
        <v>84</v>
      </c>
    </row>
    <row r="21" customFormat="false" ht="43.5" hidden="false" customHeight="true" outlineLevel="0" collapsed="false">
      <c r="A21" s="7" t="s">
        <v>182</v>
      </c>
      <c r="B21" s="4" t="s">
        <v>76</v>
      </c>
      <c r="C21" s="4" t="s">
        <v>183</v>
      </c>
      <c r="D21" s="4" t="s">
        <v>184</v>
      </c>
      <c r="E21" s="4" t="s">
        <v>185</v>
      </c>
      <c r="F21" s="4" t="s">
        <v>186</v>
      </c>
      <c r="G21" s="4" t="s">
        <v>187</v>
      </c>
      <c r="H21" s="4" t="s">
        <v>188</v>
      </c>
      <c r="I21" s="4" t="s">
        <v>189</v>
      </c>
      <c r="J21" s="8" t="s">
        <v>24</v>
      </c>
      <c r="K21" s="8" t="s">
        <v>84</v>
      </c>
    </row>
    <row r="22" customFormat="false" ht="43.5" hidden="false" customHeight="true" outlineLevel="0" collapsed="false">
      <c r="A22" s="7" t="s">
        <v>190</v>
      </c>
      <c r="B22" s="4" t="s">
        <v>76</v>
      </c>
      <c r="C22" s="4" t="s">
        <v>183</v>
      </c>
      <c r="D22" s="4" t="s">
        <v>191</v>
      </c>
      <c r="E22" s="4" t="s">
        <v>192</v>
      </c>
      <c r="F22" s="4" t="s">
        <v>106</v>
      </c>
      <c r="G22" s="4" t="s">
        <v>193</v>
      </c>
      <c r="H22" s="4" t="s">
        <v>82</v>
      </c>
      <c r="I22" s="4" t="s">
        <v>176</v>
      </c>
      <c r="J22" s="8" t="s">
        <v>24</v>
      </c>
      <c r="K22" s="8" t="s">
        <v>84</v>
      </c>
    </row>
    <row r="23" customFormat="false" ht="43.5" hidden="false" customHeight="true" outlineLevel="0" collapsed="false">
      <c r="A23" s="7" t="s">
        <v>194</v>
      </c>
      <c r="B23" s="4" t="s">
        <v>76</v>
      </c>
      <c r="C23" s="4" t="s">
        <v>183</v>
      </c>
      <c r="D23" s="4" t="s">
        <v>195</v>
      </c>
      <c r="E23" s="4" t="s">
        <v>196</v>
      </c>
      <c r="F23" s="4" t="s">
        <v>106</v>
      </c>
      <c r="G23" s="4" t="s">
        <v>197</v>
      </c>
      <c r="H23" s="4" t="s">
        <v>82</v>
      </c>
      <c r="I23" s="4" t="s">
        <v>176</v>
      </c>
      <c r="J23" s="8" t="s">
        <v>22</v>
      </c>
      <c r="K23" s="8" t="s">
        <v>84</v>
      </c>
    </row>
    <row r="24" customFormat="false" ht="43.5" hidden="false" customHeight="true" outlineLevel="0" collapsed="false">
      <c r="A24" s="7" t="s">
        <v>198</v>
      </c>
      <c r="B24" s="4" t="s">
        <v>76</v>
      </c>
      <c r="C24" s="4" t="s">
        <v>183</v>
      </c>
      <c r="D24" s="4" t="s">
        <v>199</v>
      </c>
      <c r="E24" s="4" t="s">
        <v>200</v>
      </c>
      <c r="F24" s="4" t="s">
        <v>106</v>
      </c>
      <c r="G24" s="4" t="s">
        <v>201</v>
      </c>
      <c r="H24" s="4" t="s">
        <v>82</v>
      </c>
      <c r="I24" s="4" t="s">
        <v>176</v>
      </c>
      <c r="J24" s="8" t="s">
        <v>24</v>
      </c>
      <c r="K24" s="8" t="s">
        <v>84</v>
      </c>
    </row>
    <row r="25" customFormat="false" ht="43.5" hidden="false" customHeight="true" outlineLevel="0" collapsed="false">
      <c r="A25" s="7" t="s">
        <v>202</v>
      </c>
      <c r="B25" s="4" t="s">
        <v>76</v>
      </c>
      <c r="C25" s="4" t="s">
        <v>183</v>
      </c>
      <c r="D25" s="4" t="s">
        <v>203</v>
      </c>
      <c r="E25" s="4" t="s">
        <v>204</v>
      </c>
      <c r="F25" s="4" t="s">
        <v>106</v>
      </c>
      <c r="G25" s="4" t="s">
        <v>205</v>
      </c>
      <c r="H25" s="4" t="s">
        <v>82</v>
      </c>
      <c r="I25" s="4" t="s">
        <v>176</v>
      </c>
      <c r="J25" s="8" t="s">
        <v>22</v>
      </c>
      <c r="K25" s="8" t="s">
        <v>84</v>
      </c>
    </row>
    <row r="26" customFormat="false" ht="43.5" hidden="false" customHeight="true" outlineLevel="0" collapsed="false">
      <c r="A26" s="7" t="s">
        <v>206</v>
      </c>
      <c r="B26" s="4" t="s">
        <v>76</v>
      </c>
      <c r="C26" s="4" t="s">
        <v>183</v>
      </c>
      <c r="D26" s="4" t="s">
        <v>207</v>
      </c>
      <c r="E26" s="4" t="s">
        <v>208</v>
      </c>
      <c r="F26" s="4" t="s">
        <v>106</v>
      </c>
      <c r="G26" s="4" t="s">
        <v>209</v>
      </c>
      <c r="H26" s="4" t="s">
        <v>82</v>
      </c>
      <c r="I26" s="4" t="s">
        <v>176</v>
      </c>
      <c r="J26" s="8" t="s">
        <v>24</v>
      </c>
      <c r="K26" s="11" t="s">
        <v>102</v>
      </c>
    </row>
    <row r="27" customFormat="false" ht="43.5" hidden="false" customHeight="true" outlineLevel="0" collapsed="false">
      <c r="A27" s="7" t="s">
        <v>210</v>
      </c>
      <c r="B27" s="4" t="s">
        <v>76</v>
      </c>
      <c r="C27" s="4" t="s">
        <v>211</v>
      </c>
      <c r="D27" s="4" t="s">
        <v>212</v>
      </c>
      <c r="E27" s="4" t="s">
        <v>213</v>
      </c>
      <c r="F27" s="4" t="s">
        <v>214</v>
      </c>
      <c r="G27" s="4" t="s">
        <v>215</v>
      </c>
      <c r="H27" s="4" t="s">
        <v>82</v>
      </c>
      <c r="I27" s="4" t="s">
        <v>176</v>
      </c>
      <c r="J27" s="8" t="s">
        <v>22</v>
      </c>
      <c r="K27" s="8" t="s">
        <v>84</v>
      </c>
    </row>
    <row r="28" customFormat="false" ht="43.5" hidden="false" customHeight="true" outlineLevel="0" collapsed="false">
      <c r="A28" s="7" t="s">
        <v>216</v>
      </c>
      <c r="B28" s="4" t="s">
        <v>76</v>
      </c>
      <c r="C28" s="4" t="s">
        <v>211</v>
      </c>
      <c r="D28" s="4" t="s">
        <v>217</v>
      </c>
      <c r="E28" s="4" t="s">
        <v>218</v>
      </c>
      <c r="F28" s="4" t="s">
        <v>106</v>
      </c>
      <c r="G28" s="4" t="s">
        <v>219</v>
      </c>
      <c r="H28" s="4" t="s">
        <v>82</v>
      </c>
      <c r="I28" s="4" t="s">
        <v>176</v>
      </c>
      <c r="J28" s="8" t="s">
        <v>22</v>
      </c>
      <c r="K28" s="8" t="s">
        <v>84</v>
      </c>
    </row>
    <row r="29" customFormat="false" ht="43.5" hidden="false" customHeight="true" outlineLevel="0" collapsed="false">
      <c r="A29" s="7" t="s">
        <v>220</v>
      </c>
      <c r="B29" s="4" t="s">
        <v>76</v>
      </c>
      <c r="C29" s="4" t="s">
        <v>221</v>
      </c>
      <c r="D29" s="4" t="s">
        <v>222</v>
      </c>
      <c r="E29" s="4" t="s">
        <v>223</v>
      </c>
      <c r="F29" s="4" t="s">
        <v>106</v>
      </c>
      <c r="G29" s="4" t="s">
        <v>224</v>
      </c>
      <c r="H29" s="4" t="s">
        <v>225</v>
      </c>
      <c r="I29" s="4" t="s">
        <v>226</v>
      </c>
      <c r="J29" s="9" t="s">
        <v>26</v>
      </c>
      <c r="K29" s="8" t="s">
        <v>84</v>
      </c>
    </row>
    <row r="30" customFormat="false" ht="43.5" hidden="false" customHeight="true" outlineLevel="0" collapsed="false">
      <c r="A30" s="7" t="s">
        <v>227</v>
      </c>
      <c r="B30" s="4" t="s">
        <v>76</v>
      </c>
      <c r="C30" s="4" t="s">
        <v>221</v>
      </c>
      <c r="D30" s="4" t="s">
        <v>228</v>
      </c>
      <c r="E30" s="4" t="s">
        <v>229</v>
      </c>
      <c r="F30" s="4" t="s">
        <v>106</v>
      </c>
      <c r="G30" s="4" t="s">
        <v>230</v>
      </c>
      <c r="H30" s="4" t="s">
        <v>82</v>
      </c>
      <c r="I30" s="4" t="s">
        <v>231</v>
      </c>
      <c r="J30" s="8" t="s">
        <v>22</v>
      </c>
      <c r="K30" s="8" t="s">
        <v>84</v>
      </c>
    </row>
    <row r="31" customFormat="false" ht="43.5" hidden="false" customHeight="true" outlineLevel="0" collapsed="false">
      <c r="A31" s="7" t="s">
        <v>232</v>
      </c>
      <c r="B31" s="4" t="s">
        <v>76</v>
      </c>
      <c r="C31" s="4" t="s">
        <v>221</v>
      </c>
      <c r="D31" s="4" t="s">
        <v>233</v>
      </c>
      <c r="E31" s="4" t="s">
        <v>234</v>
      </c>
      <c r="F31" s="4" t="s">
        <v>235</v>
      </c>
      <c r="G31" s="4" t="s">
        <v>236</v>
      </c>
      <c r="H31" s="4" t="s">
        <v>237</v>
      </c>
      <c r="I31" s="4" t="s">
        <v>115</v>
      </c>
      <c r="J31" s="10" t="s">
        <v>28</v>
      </c>
      <c r="K31" s="7" t="s">
        <v>116</v>
      </c>
    </row>
    <row r="32" customFormat="false" ht="43.5" hidden="false" customHeight="true" outlineLevel="0" collapsed="false">
      <c r="A32" s="7" t="s">
        <v>238</v>
      </c>
      <c r="B32" s="4" t="s">
        <v>76</v>
      </c>
      <c r="C32" s="4" t="s">
        <v>221</v>
      </c>
      <c r="D32" s="4" t="s">
        <v>239</v>
      </c>
      <c r="E32" s="4" t="s">
        <v>240</v>
      </c>
      <c r="F32" s="4" t="s">
        <v>80</v>
      </c>
      <c r="G32" s="4" t="s">
        <v>236</v>
      </c>
      <c r="H32" s="4" t="s">
        <v>237</v>
      </c>
      <c r="I32" s="4" t="s">
        <v>241</v>
      </c>
      <c r="J32" s="10" t="s">
        <v>28</v>
      </c>
      <c r="K32" s="7" t="s">
        <v>116</v>
      </c>
    </row>
    <row r="33" customFormat="false" ht="43.5" hidden="false" customHeight="true" outlineLevel="0" collapsed="false">
      <c r="A33" s="7" t="s">
        <v>242</v>
      </c>
      <c r="B33" s="4" t="s">
        <v>76</v>
      </c>
      <c r="C33" s="4" t="s">
        <v>243</v>
      </c>
      <c r="D33" s="4" t="s">
        <v>244</v>
      </c>
      <c r="E33" s="4" t="s">
        <v>245</v>
      </c>
      <c r="F33" s="4" t="s">
        <v>88</v>
      </c>
      <c r="G33" s="4" t="s">
        <v>246</v>
      </c>
      <c r="H33" s="4" t="s">
        <v>90</v>
      </c>
      <c r="I33" s="4" t="s">
        <v>176</v>
      </c>
      <c r="J33" s="8" t="s">
        <v>22</v>
      </c>
      <c r="K33" s="8" t="s">
        <v>84</v>
      </c>
    </row>
    <row r="34" customFormat="false" ht="43.5" hidden="false" customHeight="true" outlineLevel="0" collapsed="false">
      <c r="A34" s="7" t="s">
        <v>247</v>
      </c>
      <c r="B34" s="4" t="s">
        <v>76</v>
      </c>
      <c r="C34" s="4" t="s">
        <v>243</v>
      </c>
      <c r="D34" s="4" t="s">
        <v>248</v>
      </c>
      <c r="E34" s="4" t="s">
        <v>249</v>
      </c>
      <c r="F34" s="4" t="s">
        <v>250</v>
      </c>
      <c r="G34" s="4" t="s">
        <v>251</v>
      </c>
      <c r="H34" s="4" t="s">
        <v>114</v>
      </c>
      <c r="I34" s="4" t="s">
        <v>252</v>
      </c>
      <c r="J34" s="9" t="s">
        <v>26</v>
      </c>
      <c r="K34" s="8" t="s">
        <v>84</v>
      </c>
    </row>
    <row r="35" customFormat="false" ht="43.5" hidden="false" customHeight="true" outlineLevel="0" collapsed="false">
      <c r="A35" s="7" t="s">
        <v>253</v>
      </c>
      <c r="B35" s="4" t="s">
        <v>76</v>
      </c>
      <c r="C35" s="4" t="s">
        <v>243</v>
      </c>
      <c r="D35" s="4" t="s">
        <v>254</v>
      </c>
      <c r="E35" s="4" t="s">
        <v>255</v>
      </c>
      <c r="F35" s="4" t="s">
        <v>256</v>
      </c>
      <c r="G35" s="4" t="s">
        <v>257</v>
      </c>
      <c r="H35" s="4" t="s">
        <v>237</v>
      </c>
      <c r="I35" s="4" t="s">
        <v>258</v>
      </c>
      <c r="J35" s="8" t="s">
        <v>24</v>
      </c>
      <c r="K35" s="8" t="s">
        <v>84</v>
      </c>
    </row>
    <row r="36" customFormat="false" ht="43.5" hidden="false" customHeight="true" outlineLevel="0" collapsed="false">
      <c r="A36" s="7" t="s">
        <v>259</v>
      </c>
      <c r="B36" s="4" t="s">
        <v>76</v>
      </c>
      <c r="C36" s="4" t="s">
        <v>243</v>
      </c>
      <c r="D36" s="4" t="s">
        <v>260</v>
      </c>
      <c r="E36" s="4" t="s">
        <v>261</v>
      </c>
      <c r="F36" s="4" t="s">
        <v>235</v>
      </c>
      <c r="G36" s="4" t="s">
        <v>262</v>
      </c>
      <c r="H36" s="4" t="s">
        <v>82</v>
      </c>
      <c r="I36" s="4" t="s">
        <v>263</v>
      </c>
      <c r="J36" s="9" t="s">
        <v>26</v>
      </c>
      <c r="K36" s="8" t="s">
        <v>84</v>
      </c>
    </row>
    <row r="37" customFormat="false" ht="43.5" hidden="false" customHeight="true" outlineLevel="0" collapsed="false">
      <c r="A37" s="7" t="s">
        <v>264</v>
      </c>
      <c r="B37" s="4" t="s">
        <v>265</v>
      </c>
      <c r="C37" s="4" t="s">
        <v>266</v>
      </c>
      <c r="D37" s="4" t="s">
        <v>267</v>
      </c>
      <c r="E37" s="4" t="s">
        <v>268</v>
      </c>
      <c r="F37" s="4" t="s">
        <v>106</v>
      </c>
      <c r="G37" s="4" t="s">
        <v>269</v>
      </c>
      <c r="H37" s="4" t="s">
        <v>82</v>
      </c>
      <c r="I37" s="4" t="s">
        <v>270</v>
      </c>
      <c r="J37" s="8" t="s">
        <v>22</v>
      </c>
      <c r="K37" s="8" t="s">
        <v>84</v>
      </c>
    </row>
    <row r="38" customFormat="false" ht="43.5" hidden="false" customHeight="true" outlineLevel="0" collapsed="false">
      <c r="A38" s="7" t="s">
        <v>271</v>
      </c>
      <c r="B38" s="4" t="s">
        <v>265</v>
      </c>
      <c r="C38" s="4" t="s">
        <v>266</v>
      </c>
      <c r="D38" s="4" t="s">
        <v>272</v>
      </c>
      <c r="E38" s="4" t="s">
        <v>273</v>
      </c>
      <c r="F38" s="4" t="s">
        <v>106</v>
      </c>
      <c r="G38" s="4" t="s">
        <v>274</v>
      </c>
      <c r="H38" s="4" t="s">
        <v>82</v>
      </c>
      <c r="I38" s="4" t="s">
        <v>275</v>
      </c>
      <c r="J38" s="8" t="s">
        <v>24</v>
      </c>
      <c r="K38" s="8" t="s">
        <v>84</v>
      </c>
    </row>
    <row r="39" customFormat="false" ht="43.5" hidden="false" customHeight="true" outlineLevel="0" collapsed="false">
      <c r="A39" s="7" t="s">
        <v>276</v>
      </c>
      <c r="B39" s="4" t="s">
        <v>265</v>
      </c>
      <c r="C39" s="4" t="s">
        <v>266</v>
      </c>
      <c r="D39" s="4" t="s">
        <v>277</v>
      </c>
      <c r="E39" s="4" t="s">
        <v>278</v>
      </c>
      <c r="F39" s="4" t="s">
        <v>106</v>
      </c>
      <c r="G39" s="4" t="s">
        <v>279</v>
      </c>
      <c r="H39" s="4" t="s">
        <v>82</v>
      </c>
      <c r="I39" s="4" t="s">
        <v>280</v>
      </c>
      <c r="J39" s="8" t="s">
        <v>22</v>
      </c>
      <c r="K39" s="8" t="s">
        <v>84</v>
      </c>
    </row>
    <row r="40" customFormat="false" ht="43.5" hidden="false" customHeight="true" outlineLevel="0" collapsed="false">
      <c r="A40" s="7" t="s">
        <v>281</v>
      </c>
      <c r="B40" s="4" t="s">
        <v>265</v>
      </c>
      <c r="C40" s="4" t="s">
        <v>266</v>
      </c>
      <c r="D40" s="4" t="s">
        <v>282</v>
      </c>
      <c r="E40" s="4" t="s">
        <v>283</v>
      </c>
      <c r="F40" s="4" t="s">
        <v>106</v>
      </c>
      <c r="G40" s="4" t="s">
        <v>284</v>
      </c>
      <c r="H40" s="4" t="s">
        <v>82</v>
      </c>
      <c r="I40" s="4" t="s">
        <v>176</v>
      </c>
      <c r="J40" s="8" t="s">
        <v>22</v>
      </c>
      <c r="K40" s="8" t="s">
        <v>84</v>
      </c>
    </row>
    <row r="41" customFormat="false" ht="43.5" hidden="false" customHeight="true" outlineLevel="0" collapsed="false">
      <c r="A41" s="7" t="s">
        <v>285</v>
      </c>
      <c r="B41" s="4" t="s">
        <v>265</v>
      </c>
      <c r="C41" s="4" t="s">
        <v>266</v>
      </c>
      <c r="D41" s="4" t="s">
        <v>286</v>
      </c>
      <c r="E41" s="4" t="s">
        <v>287</v>
      </c>
      <c r="F41" s="4" t="s">
        <v>80</v>
      </c>
      <c r="G41" s="4" t="s">
        <v>288</v>
      </c>
      <c r="H41" s="4" t="s">
        <v>82</v>
      </c>
      <c r="I41" s="4" t="s">
        <v>176</v>
      </c>
      <c r="J41" s="8" t="s">
        <v>24</v>
      </c>
      <c r="K41" s="8" t="s">
        <v>84</v>
      </c>
    </row>
    <row r="42" customFormat="false" ht="43.5" hidden="false" customHeight="true" outlineLevel="0" collapsed="false">
      <c r="A42" s="7" t="s">
        <v>289</v>
      </c>
      <c r="B42" s="4" t="s">
        <v>265</v>
      </c>
      <c r="C42" s="4" t="s">
        <v>134</v>
      </c>
      <c r="D42" s="4" t="s">
        <v>290</v>
      </c>
      <c r="E42" s="4" t="s">
        <v>291</v>
      </c>
      <c r="F42" s="4" t="s">
        <v>88</v>
      </c>
      <c r="G42" s="4" t="s">
        <v>292</v>
      </c>
      <c r="H42" s="4" t="s">
        <v>90</v>
      </c>
      <c r="I42" s="4" t="s">
        <v>293</v>
      </c>
      <c r="J42" s="8" t="s">
        <v>24</v>
      </c>
      <c r="K42" s="8" t="s">
        <v>84</v>
      </c>
    </row>
    <row r="43" customFormat="false" ht="43.5" hidden="false" customHeight="true" outlineLevel="0" collapsed="false">
      <c r="A43" s="7" t="s">
        <v>294</v>
      </c>
      <c r="B43" s="4" t="s">
        <v>265</v>
      </c>
      <c r="C43" s="4" t="s">
        <v>134</v>
      </c>
      <c r="D43" s="4" t="s">
        <v>295</v>
      </c>
      <c r="E43" s="4" t="s">
        <v>296</v>
      </c>
      <c r="F43" s="4" t="s">
        <v>88</v>
      </c>
      <c r="G43" s="4" t="s">
        <v>297</v>
      </c>
      <c r="H43" s="4" t="s">
        <v>90</v>
      </c>
      <c r="I43" s="4" t="s">
        <v>298</v>
      </c>
      <c r="J43" s="9" t="s">
        <v>26</v>
      </c>
      <c r="K43" s="8" t="s">
        <v>84</v>
      </c>
    </row>
    <row r="44" customFormat="false" ht="43.5" hidden="false" customHeight="true" outlineLevel="0" collapsed="false">
      <c r="A44" s="7" t="s">
        <v>299</v>
      </c>
      <c r="B44" s="4" t="s">
        <v>265</v>
      </c>
      <c r="C44" s="4" t="s">
        <v>134</v>
      </c>
      <c r="D44" s="4" t="s">
        <v>300</v>
      </c>
      <c r="E44" s="4" t="s">
        <v>301</v>
      </c>
      <c r="F44" s="4" t="s">
        <v>106</v>
      </c>
      <c r="G44" s="4" t="s">
        <v>302</v>
      </c>
      <c r="H44" s="4" t="s">
        <v>82</v>
      </c>
      <c r="I44" s="4" t="s">
        <v>303</v>
      </c>
      <c r="J44" s="8" t="s">
        <v>24</v>
      </c>
      <c r="K44" s="8" t="s">
        <v>84</v>
      </c>
    </row>
    <row r="45" customFormat="false" ht="43.5" hidden="false" customHeight="true" outlineLevel="0" collapsed="false">
      <c r="A45" s="7" t="s">
        <v>304</v>
      </c>
      <c r="B45" s="4" t="s">
        <v>265</v>
      </c>
      <c r="C45" s="4" t="s">
        <v>134</v>
      </c>
      <c r="D45" s="4" t="s">
        <v>305</v>
      </c>
      <c r="E45" s="4" t="s">
        <v>306</v>
      </c>
      <c r="F45" s="4" t="s">
        <v>106</v>
      </c>
      <c r="G45" s="4" t="s">
        <v>307</v>
      </c>
      <c r="H45" s="4" t="s">
        <v>82</v>
      </c>
      <c r="I45" s="4" t="s">
        <v>308</v>
      </c>
      <c r="J45" s="8" t="s">
        <v>24</v>
      </c>
      <c r="K45" s="8" t="s">
        <v>84</v>
      </c>
    </row>
    <row r="46" customFormat="false" ht="43.5" hidden="false" customHeight="true" outlineLevel="0" collapsed="false">
      <c r="A46" s="7" t="s">
        <v>309</v>
      </c>
      <c r="B46" s="4" t="s">
        <v>265</v>
      </c>
      <c r="C46" s="4" t="s">
        <v>134</v>
      </c>
      <c r="D46" s="4" t="s">
        <v>310</v>
      </c>
      <c r="E46" s="4" t="s">
        <v>311</v>
      </c>
      <c r="F46" s="4" t="s">
        <v>106</v>
      </c>
      <c r="G46" s="4" t="s">
        <v>312</v>
      </c>
      <c r="H46" s="4" t="s">
        <v>82</v>
      </c>
      <c r="I46" s="4" t="s">
        <v>313</v>
      </c>
      <c r="J46" s="9" t="s">
        <v>26</v>
      </c>
      <c r="K46" s="8" t="s">
        <v>84</v>
      </c>
    </row>
    <row r="47" customFormat="false" ht="43.5" hidden="false" customHeight="true" outlineLevel="0" collapsed="false">
      <c r="A47" s="7" t="s">
        <v>314</v>
      </c>
      <c r="B47" s="4" t="s">
        <v>265</v>
      </c>
      <c r="C47" s="4" t="s">
        <v>134</v>
      </c>
      <c r="D47" s="4" t="s">
        <v>315</v>
      </c>
      <c r="E47" s="4" t="s">
        <v>316</v>
      </c>
      <c r="F47" s="4" t="s">
        <v>106</v>
      </c>
      <c r="G47" s="4" t="s">
        <v>317</v>
      </c>
      <c r="H47" s="4" t="s">
        <v>82</v>
      </c>
      <c r="I47" s="4" t="s">
        <v>176</v>
      </c>
      <c r="J47" s="8" t="s">
        <v>22</v>
      </c>
      <c r="K47" s="8" t="s">
        <v>84</v>
      </c>
    </row>
    <row r="48" customFormat="false" ht="43.5" hidden="false" customHeight="true" outlineLevel="0" collapsed="false">
      <c r="A48" s="7" t="s">
        <v>318</v>
      </c>
      <c r="B48" s="4" t="s">
        <v>265</v>
      </c>
      <c r="C48" s="4" t="s">
        <v>134</v>
      </c>
      <c r="D48" s="4" t="s">
        <v>319</v>
      </c>
      <c r="E48" s="4" t="s">
        <v>320</v>
      </c>
      <c r="F48" s="4" t="s">
        <v>106</v>
      </c>
      <c r="G48" s="4" t="s">
        <v>321</v>
      </c>
      <c r="H48" s="4" t="s">
        <v>82</v>
      </c>
      <c r="I48" s="4" t="s">
        <v>176</v>
      </c>
      <c r="J48" s="8" t="s">
        <v>22</v>
      </c>
      <c r="K48" s="8" t="s">
        <v>84</v>
      </c>
    </row>
    <row r="49" customFormat="false" ht="43.5" hidden="false" customHeight="true" outlineLevel="0" collapsed="false">
      <c r="A49" s="7" t="s">
        <v>322</v>
      </c>
      <c r="B49" s="4" t="s">
        <v>265</v>
      </c>
      <c r="C49" s="4" t="s">
        <v>134</v>
      </c>
      <c r="D49" s="4" t="s">
        <v>323</v>
      </c>
      <c r="E49" s="4" t="s">
        <v>324</v>
      </c>
      <c r="F49" s="4" t="s">
        <v>106</v>
      </c>
      <c r="G49" s="4" t="s">
        <v>325</v>
      </c>
      <c r="H49" s="4" t="s">
        <v>82</v>
      </c>
      <c r="I49" s="4" t="s">
        <v>326</v>
      </c>
      <c r="J49" s="8" t="s">
        <v>22</v>
      </c>
      <c r="K49" s="8" t="s">
        <v>84</v>
      </c>
    </row>
    <row r="50" customFormat="false" ht="43.5" hidden="false" customHeight="true" outlineLevel="0" collapsed="false">
      <c r="A50" s="7" t="s">
        <v>327</v>
      </c>
      <c r="B50" s="4" t="s">
        <v>265</v>
      </c>
      <c r="C50" s="4" t="s">
        <v>134</v>
      </c>
      <c r="D50" s="4" t="s">
        <v>328</v>
      </c>
      <c r="E50" s="4" t="s">
        <v>329</v>
      </c>
      <c r="F50" s="4" t="s">
        <v>106</v>
      </c>
      <c r="G50" s="4" t="s">
        <v>330</v>
      </c>
      <c r="H50" s="4" t="s">
        <v>82</v>
      </c>
      <c r="I50" s="4" t="s">
        <v>176</v>
      </c>
      <c r="J50" s="8" t="s">
        <v>22</v>
      </c>
      <c r="K50" s="8" t="s">
        <v>84</v>
      </c>
    </row>
    <row r="51" customFormat="false" ht="43.5" hidden="false" customHeight="true" outlineLevel="0" collapsed="false">
      <c r="A51" s="7" t="s">
        <v>331</v>
      </c>
      <c r="B51" s="4" t="s">
        <v>265</v>
      </c>
      <c r="C51" s="4" t="s">
        <v>134</v>
      </c>
      <c r="D51" s="4" t="s">
        <v>332</v>
      </c>
      <c r="E51" s="4" t="s">
        <v>333</v>
      </c>
      <c r="F51" s="4" t="s">
        <v>106</v>
      </c>
      <c r="G51" s="4" t="s">
        <v>334</v>
      </c>
      <c r="H51" s="4" t="s">
        <v>82</v>
      </c>
      <c r="I51" s="4" t="s">
        <v>176</v>
      </c>
      <c r="J51" s="8" t="s">
        <v>22</v>
      </c>
      <c r="K51" s="8" t="s">
        <v>84</v>
      </c>
    </row>
    <row r="52" customFormat="false" ht="43.5" hidden="false" customHeight="true" outlineLevel="0" collapsed="false">
      <c r="A52" s="7" t="s">
        <v>335</v>
      </c>
      <c r="B52" s="4" t="s">
        <v>265</v>
      </c>
      <c r="C52" s="4" t="s">
        <v>134</v>
      </c>
      <c r="D52" s="4" t="s">
        <v>336</v>
      </c>
      <c r="E52" s="4" t="s">
        <v>337</v>
      </c>
      <c r="F52" s="4" t="s">
        <v>80</v>
      </c>
      <c r="G52" s="4" t="s">
        <v>338</v>
      </c>
      <c r="H52" s="4" t="s">
        <v>82</v>
      </c>
      <c r="I52" s="4" t="s">
        <v>339</v>
      </c>
      <c r="J52" s="8" t="s">
        <v>22</v>
      </c>
      <c r="K52" s="8" t="s">
        <v>84</v>
      </c>
    </row>
    <row r="53" customFormat="false" ht="43.5" hidden="false" customHeight="true" outlineLevel="0" collapsed="false">
      <c r="A53" s="7" t="s">
        <v>340</v>
      </c>
      <c r="B53" s="4" t="s">
        <v>265</v>
      </c>
      <c r="C53" s="4" t="s">
        <v>134</v>
      </c>
      <c r="D53" s="4" t="s">
        <v>341</v>
      </c>
      <c r="E53" s="4" t="s">
        <v>342</v>
      </c>
      <c r="F53" s="4" t="s">
        <v>80</v>
      </c>
      <c r="G53" s="4" t="s">
        <v>343</v>
      </c>
      <c r="H53" s="4" t="s">
        <v>82</v>
      </c>
      <c r="I53" s="4" t="s">
        <v>344</v>
      </c>
      <c r="J53" s="8" t="s">
        <v>24</v>
      </c>
      <c r="K53" s="8" t="s">
        <v>84</v>
      </c>
    </row>
    <row r="54" customFormat="false" ht="43.5" hidden="false" customHeight="true" outlineLevel="0" collapsed="false">
      <c r="A54" s="7" t="s">
        <v>345</v>
      </c>
      <c r="B54" s="4" t="s">
        <v>265</v>
      </c>
      <c r="C54" s="4" t="s">
        <v>157</v>
      </c>
      <c r="D54" s="4" t="s">
        <v>346</v>
      </c>
      <c r="E54" s="4" t="s">
        <v>347</v>
      </c>
      <c r="F54" s="4" t="s">
        <v>106</v>
      </c>
      <c r="G54" s="4" t="s">
        <v>348</v>
      </c>
      <c r="H54" s="4" t="s">
        <v>82</v>
      </c>
      <c r="I54" s="4" t="s">
        <v>349</v>
      </c>
      <c r="J54" s="9" t="s">
        <v>26</v>
      </c>
      <c r="K54" s="8" t="s">
        <v>84</v>
      </c>
    </row>
    <row r="55" customFormat="false" ht="43.5" hidden="false" customHeight="true" outlineLevel="0" collapsed="false">
      <c r="A55" s="7" t="s">
        <v>350</v>
      </c>
      <c r="B55" s="4" t="s">
        <v>265</v>
      </c>
      <c r="C55" s="4" t="s">
        <v>157</v>
      </c>
      <c r="D55" s="4" t="s">
        <v>351</v>
      </c>
      <c r="E55" s="4" t="s">
        <v>352</v>
      </c>
      <c r="F55" s="4" t="s">
        <v>106</v>
      </c>
      <c r="G55" s="4" t="s">
        <v>353</v>
      </c>
      <c r="H55" s="4" t="s">
        <v>82</v>
      </c>
      <c r="I55" s="4" t="s">
        <v>176</v>
      </c>
      <c r="J55" s="8" t="s">
        <v>22</v>
      </c>
      <c r="K55" s="8" t="s">
        <v>84</v>
      </c>
    </row>
    <row r="56" customFormat="false" ht="43.5" hidden="false" customHeight="true" outlineLevel="0" collapsed="false">
      <c r="A56" s="7" t="s">
        <v>354</v>
      </c>
      <c r="B56" s="4" t="s">
        <v>265</v>
      </c>
      <c r="C56" s="4" t="s">
        <v>157</v>
      </c>
      <c r="D56" s="4" t="s">
        <v>355</v>
      </c>
      <c r="E56" s="4" t="s">
        <v>356</v>
      </c>
      <c r="F56" s="4" t="s">
        <v>106</v>
      </c>
      <c r="G56" s="4" t="s">
        <v>357</v>
      </c>
      <c r="H56" s="4" t="s">
        <v>82</v>
      </c>
      <c r="I56" s="4" t="s">
        <v>358</v>
      </c>
      <c r="J56" s="9" t="s">
        <v>26</v>
      </c>
      <c r="K56" s="8" t="s">
        <v>84</v>
      </c>
    </row>
    <row r="57" customFormat="false" ht="43.5" hidden="false" customHeight="true" outlineLevel="0" collapsed="false">
      <c r="A57" s="7" t="s">
        <v>359</v>
      </c>
      <c r="B57" s="4" t="s">
        <v>265</v>
      </c>
      <c r="C57" s="4" t="s">
        <v>157</v>
      </c>
      <c r="D57" s="4" t="s">
        <v>360</v>
      </c>
      <c r="E57" s="4" t="s">
        <v>361</v>
      </c>
      <c r="F57" s="4" t="s">
        <v>106</v>
      </c>
      <c r="G57" s="4" t="s">
        <v>362</v>
      </c>
      <c r="H57" s="4" t="s">
        <v>82</v>
      </c>
      <c r="I57" s="4" t="s">
        <v>176</v>
      </c>
      <c r="J57" s="8" t="s">
        <v>22</v>
      </c>
      <c r="K57" s="8" t="s">
        <v>84</v>
      </c>
    </row>
    <row r="58" customFormat="false" ht="43.5" hidden="false" customHeight="true" outlineLevel="0" collapsed="false">
      <c r="A58" s="7" t="s">
        <v>363</v>
      </c>
      <c r="B58" s="4" t="s">
        <v>265</v>
      </c>
      <c r="C58" s="4" t="s">
        <v>183</v>
      </c>
      <c r="D58" s="4" t="s">
        <v>364</v>
      </c>
      <c r="E58" s="4" t="s">
        <v>365</v>
      </c>
      <c r="F58" s="4" t="s">
        <v>186</v>
      </c>
      <c r="G58" s="4" t="s">
        <v>366</v>
      </c>
      <c r="H58" s="4" t="s">
        <v>188</v>
      </c>
      <c r="I58" s="4" t="s">
        <v>176</v>
      </c>
      <c r="J58" s="8" t="s">
        <v>22</v>
      </c>
      <c r="K58" s="8" t="s">
        <v>84</v>
      </c>
    </row>
    <row r="59" customFormat="false" ht="43.5" hidden="false" customHeight="true" outlineLevel="0" collapsed="false">
      <c r="A59" s="7" t="s">
        <v>367</v>
      </c>
      <c r="B59" s="4" t="s">
        <v>265</v>
      </c>
      <c r="C59" s="4" t="s">
        <v>183</v>
      </c>
      <c r="D59" s="4" t="s">
        <v>368</v>
      </c>
      <c r="E59" s="4" t="s">
        <v>369</v>
      </c>
      <c r="F59" s="4" t="s">
        <v>106</v>
      </c>
      <c r="G59" s="4" t="s">
        <v>370</v>
      </c>
      <c r="H59" s="4" t="s">
        <v>82</v>
      </c>
      <c r="I59" s="4" t="s">
        <v>176</v>
      </c>
      <c r="J59" s="8" t="s">
        <v>22</v>
      </c>
      <c r="K59" s="8" t="s">
        <v>84</v>
      </c>
    </row>
    <row r="60" customFormat="false" ht="43.5" hidden="false" customHeight="true" outlineLevel="0" collapsed="false">
      <c r="A60" s="7" t="s">
        <v>371</v>
      </c>
      <c r="B60" s="4" t="s">
        <v>265</v>
      </c>
      <c r="C60" s="4" t="s">
        <v>183</v>
      </c>
      <c r="D60" s="4" t="s">
        <v>372</v>
      </c>
      <c r="E60" s="4" t="s">
        <v>373</v>
      </c>
      <c r="F60" s="4" t="s">
        <v>88</v>
      </c>
      <c r="G60" s="4" t="s">
        <v>374</v>
      </c>
      <c r="H60" s="4" t="s">
        <v>90</v>
      </c>
      <c r="I60" s="4" t="s">
        <v>176</v>
      </c>
      <c r="J60" s="8" t="s">
        <v>22</v>
      </c>
      <c r="K60" s="8" t="s">
        <v>84</v>
      </c>
    </row>
    <row r="61" customFormat="false" ht="43.5" hidden="false" customHeight="true" outlineLevel="0" collapsed="false">
      <c r="A61" s="7" t="s">
        <v>375</v>
      </c>
      <c r="B61" s="4" t="s">
        <v>265</v>
      </c>
      <c r="C61" s="4" t="s">
        <v>183</v>
      </c>
      <c r="D61" s="4" t="s">
        <v>376</v>
      </c>
      <c r="E61" s="4" t="s">
        <v>377</v>
      </c>
      <c r="F61" s="4" t="s">
        <v>106</v>
      </c>
      <c r="G61" s="4" t="s">
        <v>378</v>
      </c>
      <c r="H61" s="4" t="s">
        <v>82</v>
      </c>
      <c r="I61" s="4" t="s">
        <v>176</v>
      </c>
      <c r="J61" s="8" t="s">
        <v>22</v>
      </c>
      <c r="K61" s="11" t="s">
        <v>102</v>
      </c>
    </row>
    <row r="62" customFormat="false" ht="43.5" hidden="false" customHeight="true" outlineLevel="0" collapsed="false">
      <c r="A62" s="7" t="s">
        <v>379</v>
      </c>
      <c r="B62" s="4" t="s">
        <v>265</v>
      </c>
      <c r="C62" s="4" t="s">
        <v>243</v>
      </c>
      <c r="D62" s="4" t="s">
        <v>380</v>
      </c>
      <c r="E62" s="4" t="s">
        <v>381</v>
      </c>
      <c r="F62" s="4" t="s">
        <v>88</v>
      </c>
      <c r="G62" s="4" t="s">
        <v>382</v>
      </c>
      <c r="H62" s="4" t="s">
        <v>90</v>
      </c>
      <c r="I62" s="4" t="s">
        <v>176</v>
      </c>
      <c r="J62" s="8" t="s">
        <v>22</v>
      </c>
      <c r="K62" s="8" t="s">
        <v>84</v>
      </c>
    </row>
    <row r="63" customFormat="false" ht="43.5" hidden="false" customHeight="true" outlineLevel="0" collapsed="false">
      <c r="A63" s="7" t="s">
        <v>383</v>
      </c>
      <c r="B63" s="4" t="s">
        <v>265</v>
      </c>
      <c r="C63" s="4" t="s">
        <v>243</v>
      </c>
      <c r="D63" s="4" t="s">
        <v>384</v>
      </c>
      <c r="E63" s="4" t="s">
        <v>385</v>
      </c>
      <c r="F63" s="4" t="s">
        <v>250</v>
      </c>
      <c r="G63" s="4" t="s">
        <v>386</v>
      </c>
      <c r="H63" s="4" t="s">
        <v>114</v>
      </c>
      <c r="I63" s="4" t="s">
        <v>176</v>
      </c>
      <c r="J63" s="8" t="s">
        <v>22</v>
      </c>
      <c r="K63" s="11" t="s">
        <v>102</v>
      </c>
    </row>
    <row r="64" customFormat="false" ht="43.5" hidden="false" customHeight="true" outlineLevel="0" collapsed="false">
      <c r="A64" s="7" t="s">
        <v>387</v>
      </c>
      <c r="B64" s="4" t="s">
        <v>265</v>
      </c>
      <c r="C64" s="4" t="s">
        <v>243</v>
      </c>
      <c r="D64" s="4" t="s">
        <v>388</v>
      </c>
      <c r="E64" s="4" t="s">
        <v>389</v>
      </c>
      <c r="F64" s="4" t="s">
        <v>237</v>
      </c>
      <c r="G64" s="4" t="s">
        <v>236</v>
      </c>
      <c r="H64" s="4" t="s">
        <v>237</v>
      </c>
      <c r="I64" s="4" t="s">
        <v>176</v>
      </c>
      <c r="J64" s="11" t="s">
        <v>30</v>
      </c>
      <c r="K64" s="7" t="s">
        <v>116</v>
      </c>
    </row>
    <row r="65" customFormat="false" ht="43.5" hidden="false" customHeight="true" outlineLevel="0" collapsed="false">
      <c r="A65" s="7" t="s">
        <v>390</v>
      </c>
      <c r="B65" s="4" t="s">
        <v>265</v>
      </c>
      <c r="C65" s="4" t="s">
        <v>243</v>
      </c>
      <c r="D65" s="4" t="s">
        <v>391</v>
      </c>
      <c r="E65" s="4" t="s">
        <v>392</v>
      </c>
      <c r="F65" s="4" t="s">
        <v>237</v>
      </c>
      <c r="G65" s="4" t="s">
        <v>236</v>
      </c>
      <c r="H65" s="4" t="s">
        <v>237</v>
      </c>
      <c r="I65" s="4" t="s">
        <v>393</v>
      </c>
      <c r="J65" s="11" t="s">
        <v>30</v>
      </c>
      <c r="K65" s="7" t="s">
        <v>116</v>
      </c>
    </row>
    <row r="66" customFormat="false" ht="43.5" hidden="false" customHeight="true" outlineLevel="0" collapsed="false">
      <c r="A66" s="7" t="s">
        <v>394</v>
      </c>
      <c r="B66" s="4" t="s">
        <v>265</v>
      </c>
      <c r="C66" s="4" t="s">
        <v>243</v>
      </c>
      <c r="D66" s="4" t="s">
        <v>395</v>
      </c>
      <c r="E66" s="4" t="s">
        <v>396</v>
      </c>
      <c r="F66" s="4" t="s">
        <v>88</v>
      </c>
      <c r="G66" s="4" t="s">
        <v>397</v>
      </c>
      <c r="H66" s="4" t="s">
        <v>90</v>
      </c>
      <c r="I66" s="4" t="s">
        <v>398</v>
      </c>
      <c r="J66" s="9" t="s">
        <v>26</v>
      </c>
      <c r="K66" s="8" t="s">
        <v>84</v>
      </c>
    </row>
    <row r="67" customFormat="false" ht="43.5" hidden="false" customHeight="true" outlineLevel="0" collapsed="false">
      <c r="A67" s="7" t="s">
        <v>399</v>
      </c>
      <c r="B67" s="4" t="s">
        <v>265</v>
      </c>
      <c r="C67" s="4" t="s">
        <v>243</v>
      </c>
      <c r="D67" s="4" t="s">
        <v>400</v>
      </c>
      <c r="E67" s="4" t="s">
        <v>401</v>
      </c>
      <c r="F67" s="4" t="s">
        <v>106</v>
      </c>
      <c r="G67" s="4" t="s">
        <v>402</v>
      </c>
      <c r="H67" s="4" t="s">
        <v>82</v>
      </c>
      <c r="I67" s="4" t="s">
        <v>176</v>
      </c>
      <c r="J67" s="8" t="s">
        <v>22</v>
      </c>
      <c r="K67" s="8" t="s">
        <v>84</v>
      </c>
    </row>
    <row r="68" customFormat="false" ht="43.5" hidden="false" customHeight="true" outlineLevel="0" collapsed="false">
      <c r="A68" s="7" t="s">
        <v>403</v>
      </c>
      <c r="B68" s="4" t="s">
        <v>265</v>
      </c>
      <c r="C68" s="4" t="s">
        <v>243</v>
      </c>
      <c r="D68" s="4" t="s">
        <v>404</v>
      </c>
      <c r="E68" s="4" t="s">
        <v>405</v>
      </c>
      <c r="F68" s="4" t="s">
        <v>235</v>
      </c>
      <c r="G68" s="4" t="s">
        <v>406</v>
      </c>
      <c r="H68" s="4" t="s">
        <v>82</v>
      </c>
      <c r="I68" s="4" t="s">
        <v>407</v>
      </c>
      <c r="J68" s="8" t="s">
        <v>24</v>
      </c>
      <c r="K68" s="8" t="s">
        <v>84</v>
      </c>
    </row>
    <row r="69" customFormat="false" ht="43.5" hidden="false" customHeight="true" outlineLevel="0" collapsed="false">
      <c r="A69" s="7" t="s">
        <v>408</v>
      </c>
      <c r="B69" s="4" t="s">
        <v>409</v>
      </c>
      <c r="C69" s="4" t="s">
        <v>77</v>
      </c>
      <c r="D69" s="4" t="s">
        <v>410</v>
      </c>
      <c r="E69" s="4" t="s">
        <v>411</v>
      </c>
      <c r="F69" s="4" t="s">
        <v>235</v>
      </c>
      <c r="G69" s="4" t="s">
        <v>412</v>
      </c>
      <c r="H69" s="4" t="s">
        <v>82</v>
      </c>
      <c r="I69" s="4" t="s">
        <v>413</v>
      </c>
      <c r="J69" s="9" t="s">
        <v>26</v>
      </c>
      <c r="K69" s="8" t="s">
        <v>84</v>
      </c>
    </row>
    <row r="70" customFormat="false" ht="43.5" hidden="false" customHeight="true" outlineLevel="0" collapsed="false">
      <c r="A70" s="7" t="s">
        <v>414</v>
      </c>
      <c r="B70" s="4" t="s">
        <v>409</v>
      </c>
      <c r="C70" s="4" t="s">
        <v>77</v>
      </c>
      <c r="D70" s="4" t="s">
        <v>415</v>
      </c>
      <c r="E70" s="4" t="s">
        <v>416</v>
      </c>
      <c r="F70" s="4" t="s">
        <v>106</v>
      </c>
      <c r="G70" s="4" t="s">
        <v>417</v>
      </c>
      <c r="H70" s="4" t="s">
        <v>82</v>
      </c>
      <c r="I70" s="4" t="s">
        <v>176</v>
      </c>
      <c r="J70" s="8" t="s">
        <v>22</v>
      </c>
      <c r="K70" s="8" t="s">
        <v>84</v>
      </c>
    </row>
    <row r="71" customFormat="false" ht="43.5" hidden="false" customHeight="true" outlineLevel="0" collapsed="false">
      <c r="A71" s="7" t="s">
        <v>418</v>
      </c>
      <c r="B71" s="4" t="s">
        <v>409</v>
      </c>
      <c r="C71" s="4" t="s">
        <v>77</v>
      </c>
      <c r="D71" s="4" t="s">
        <v>419</v>
      </c>
      <c r="E71" s="4" t="s">
        <v>420</v>
      </c>
      <c r="F71" s="4" t="s">
        <v>237</v>
      </c>
      <c r="G71" s="4" t="s">
        <v>236</v>
      </c>
      <c r="H71" s="4" t="s">
        <v>237</v>
      </c>
      <c r="I71" s="4" t="s">
        <v>176</v>
      </c>
      <c r="J71" s="11" t="s">
        <v>30</v>
      </c>
      <c r="K71" s="7" t="s">
        <v>116</v>
      </c>
    </row>
    <row r="72" customFormat="false" ht="43.5" hidden="false" customHeight="true" outlineLevel="0" collapsed="false">
      <c r="A72" s="7" t="s">
        <v>421</v>
      </c>
      <c r="B72" s="4" t="s">
        <v>409</v>
      </c>
      <c r="C72" s="4" t="s">
        <v>77</v>
      </c>
      <c r="D72" s="4" t="s">
        <v>422</v>
      </c>
      <c r="E72" s="4" t="s">
        <v>423</v>
      </c>
      <c r="F72" s="4" t="s">
        <v>237</v>
      </c>
      <c r="G72" s="4" t="s">
        <v>236</v>
      </c>
      <c r="H72" s="4" t="s">
        <v>237</v>
      </c>
      <c r="I72" s="4" t="s">
        <v>176</v>
      </c>
      <c r="J72" s="11" t="s">
        <v>30</v>
      </c>
      <c r="K72" s="7" t="s">
        <v>116</v>
      </c>
    </row>
    <row r="73" customFormat="false" ht="43.5" hidden="false" customHeight="true" outlineLevel="0" collapsed="false">
      <c r="A73" s="7" t="s">
        <v>424</v>
      </c>
      <c r="B73" s="4" t="s">
        <v>409</v>
      </c>
      <c r="C73" s="4" t="s">
        <v>77</v>
      </c>
      <c r="D73" s="4" t="s">
        <v>425</v>
      </c>
      <c r="E73" s="4" t="s">
        <v>426</v>
      </c>
      <c r="F73" s="4" t="s">
        <v>237</v>
      </c>
      <c r="G73" s="4" t="s">
        <v>236</v>
      </c>
      <c r="H73" s="4" t="s">
        <v>237</v>
      </c>
      <c r="I73" s="4" t="s">
        <v>176</v>
      </c>
      <c r="J73" s="11" t="s">
        <v>30</v>
      </c>
      <c r="K73" s="7" t="s">
        <v>116</v>
      </c>
    </row>
    <row r="74" customFormat="false" ht="43.5" hidden="false" customHeight="true" outlineLevel="0" collapsed="false">
      <c r="A74" s="7" t="s">
        <v>427</v>
      </c>
      <c r="B74" s="4" t="s">
        <v>409</v>
      </c>
      <c r="C74" s="4" t="s">
        <v>77</v>
      </c>
      <c r="D74" s="4" t="s">
        <v>428</v>
      </c>
      <c r="E74" s="4" t="s">
        <v>429</v>
      </c>
      <c r="F74" s="4" t="s">
        <v>106</v>
      </c>
      <c r="G74" s="4" t="s">
        <v>430</v>
      </c>
      <c r="H74" s="4" t="s">
        <v>82</v>
      </c>
      <c r="I74" s="4" t="s">
        <v>431</v>
      </c>
      <c r="J74" s="8" t="s">
        <v>24</v>
      </c>
      <c r="K74" s="8" t="s">
        <v>84</v>
      </c>
    </row>
    <row r="75" customFormat="false" ht="43.5" hidden="false" customHeight="true" outlineLevel="0" collapsed="false">
      <c r="A75" s="7" t="s">
        <v>432</v>
      </c>
      <c r="B75" s="4" t="s">
        <v>409</v>
      </c>
      <c r="C75" s="4" t="s">
        <v>77</v>
      </c>
      <c r="D75" s="4" t="s">
        <v>433</v>
      </c>
      <c r="E75" s="4" t="s">
        <v>434</v>
      </c>
      <c r="F75" s="4" t="s">
        <v>88</v>
      </c>
      <c r="G75" s="4" t="s">
        <v>435</v>
      </c>
      <c r="H75" s="4" t="s">
        <v>90</v>
      </c>
      <c r="I75" s="4" t="s">
        <v>436</v>
      </c>
      <c r="J75" s="8" t="s">
        <v>24</v>
      </c>
      <c r="K75" s="8" t="s">
        <v>84</v>
      </c>
    </row>
    <row r="76" customFormat="false" ht="43.5" hidden="false" customHeight="true" outlineLevel="0" collapsed="false">
      <c r="A76" s="7" t="s">
        <v>437</v>
      </c>
      <c r="B76" s="4" t="s">
        <v>409</v>
      </c>
      <c r="C76" s="4" t="s">
        <v>438</v>
      </c>
      <c r="D76" s="4" t="s">
        <v>439</v>
      </c>
      <c r="E76" s="4" t="s">
        <v>440</v>
      </c>
      <c r="F76" s="4" t="s">
        <v>106</v>
      </c>
      <c r="G76" s="4" t="s">
        <v>441</v>
      </c>
      <c r="H76" s="4" t="s">
        <v>82</v>
      </c>
      <c r="I76" s="4" t="s">
        <v>176</v>
      </c>
      <c r="J76" s="8" t="s">
        <v>22</v>
      </c>
      <c r="K76" s="8" t="s">
        <v>84</v>
      </c>
    </row>
    <row r="77" customFormat="false" ht="43.5" hidden="false" customHeight="true" outlineLevel="0" collapsed="false">
      <c r="A77" s="7" t="s">
        <v>442</v>
      </c>
      <c r="B77" s="4" t="s">
        <v>409</v>
      </c>
      <c r="C77" s="4" t="s">
        <v>438</v>
      </c>
      <c r="D77" s="4" t="s">
        <v>443</v>
      </c>
      <c r="E77" s="4" t="s">
        <v>444</v>
      </c>
      <c r="F77" s="4" t="s">
        <v>237</v>
      </c>
      <c r="G77" s="4" t="s">
        <v>236</v>
      </c>
      <c r="H77" s="4" t="s">
        <v>237</v>
      </c>
      <c r="I77" s="4" t="s">
        <v>176</v>
      </c>
      <c r="J77" s="11" t="s">
        <v>30</v>
      </c>
      <c r="K77" s="7" t="s">
        <v>116</v>
      </c>
    </row>
    <row r="78" customFormat="false" ht="43.5" hidden="false" customHeight="true" outlineLevel="0" collapsed="false">
      <c r="A78" s="7" t="s">
        <v>445</v>
      </c>
      <c r="B78" s="4" t="s">
        <v>409</v>
      </c>
      <c r="C78" s="4" t="s">
        <v>118</v>
      </c>
      <c r="D78" s="4" t="s">
        <v>446</v>
      </c>
      <c r="E78" s="4" t="s">
        <v>447</v>
      </c>
      <c r="F78" s="4" t="s">
        <v>106</v>
      </c>
      <c r="G78" s="4" t="s">
        <v>448</v>
      </c>
      <c r="H78" s="4" t="s">
        <v>82</v>
      </c>
      <c r="I78" s="4" t="s">
        <v>449</v>
      </c>
      <c r="J78" s="8" t="s">
        <v>24</v>
      </c>
      <c r="K78" s="8" t="s">
        <v>84</v>
      </c>
    </row>
    <row r="79" customFormat="false" ht="43.5" hidden="false" customHeight="true" outlineLevel="0" collapsed="false">
      <c r="A79" s="7" t="s">
        <v>450</v>
      </c>
      <c r="B79" s="4" t="s">
        <v>409</v>
      </c>
      <c r="C79" s="4" t="s">
        <v>118</v>
      </c>
      <c r="D79" s="4" t="s">
        <v>451</v>
      </c>
      <c r="E79" s="4" t="s">
        <v>452</v>
      </c>
      <c r="F79" s="4" t="s">
        <v>106</v>
      </c>
      <c r="G79" s="4" t="s">
        <v>453</v>
      </c>
      <c r="H79" s="4" t="s">
        <v>82</v>
      </c>
      <c r="I79" s="4" t="s">
        <v>176</v>
      </c>
      <c r="J79" s="8" t="s">
        <v>22</v>
      </c>
      <c r="K79" s="8" t="s">
        <v>84</v>
      </c>
    </row>
    <row r="80" customFormat="false" ht="43.5" hidden="false" customHeight="true" outlineLevel="0" collapsed="false">
      <c r="A80" s="7" t="s">
        <v>454</v>
      </c>
      <c r="B80" s="4" t="s">
        <v>409</v>
      </c>
      <c r="C80" s="4" t="s">
        <v>118</v>
      </c>
      <c r="D80" s="4" t="s">
        <v>455</v>
      </c>
      <c r="E80" s="4" t="s">
        <v>130</v>
      </c>
      <c r="F80" s="4" t="s">
        <v>88</v>
      </c>
      <c r="G80" s="4" t="s">
        <v>456</v>
      </c>
      <c r="H80" s="4" t="s">
        <v>90</v>
      </c>
      <c r="I80" s="4" t="s">
        <v>457</v>
      </c>
      <c r="J80" s="9" t="s">
        <v>26</v>
      </c>
      <c r="K80" s="8" t="s">
        <v>84</v>
      </c>
    </row>
    <row r="81" customFormat="false" ht="43.5" hidden="false" customHeight="true" outlineLevel="0" collapsed="false">
      <c r="A81" s="7" t="s">
        <v>458</v>
      </c>
      <c r="B81" s="4" t="s">
        <v>409</v>
      </c>
      <c r="C81" s="4" t="s">
        <v>266</v>
      </c>
      <c r="D81" s="4" t="s">
        <v>459</v>
      </c>
      <c r="E81" s="4" t="s">
        <v>460</v>
      </c>
      <c r="F81" s="4" t="s">
        <v>237</v>
      </c>
      <c r="G81" s="4" t="s">
        <v>236</v>
      </c>
      <c r="H81" s="4" t="s">
        <v>237</v>
      </c>
      <c r="I81" s="4" t="s">
        <v>461</v>
      </c>
      <c r="J81" s="10" t="s">
        <v>28</v>
      </c>
      <c r="K81" s="7" t="s">
        <v>116</v>
      </c>
    </row>
    <row r="82" customFormat="false" ht="43.5" hidden="false" customHeight="true" outlineLevel="0" collapsed="false">
      <c r="A82" s="7" t="s">
        <v>462</v>
      </c>
      <c r="B82" s="4" t="s">
        <v>409</v>
      </c>
      <c r="C82" s="4" t="s">
        <v>266</v>
      </c>
      <c r="D82" s="4" t="s">
        <v>463</v>
      </c>
      <c r="E82" s="4" t="s">
        <v>464</v>
      </c>
      <c r="F82" s="4" t="s">
        <v>106</v>
      </c>
      <c r="G82" s="4" t="s">
        <v>465</v>
      </c>
      <c r="H82" s="4" t="s">
        <v>82</v>
      </c>
      <c r="I82" s="4" t="s">
        <v>176</v>
      </c>
      <c r="J82" s="8" t="s">
        <v>22</v>
      </c>
      <c r="K82" s="8" t="s">
        <v>84</v>
      </c>
    </row>
    <row r="83" customFormat="false" ht="43.5" hidden="false" customHeight="true" outlineLevel="0" collapsed="false">
      <c r="A83" s="7" t="s">
        <v>466</v>
      </c>
      <c r="B83" s="4" t="s">
        <v>409</v>
      </c>
      <c r="C83" s="4" t="s">
        <v>266</v>
      </c>
      <c r="D83" s="4" t="s">
        <v>467</v>
      </c>
      <c r="E83" s="4" t="s">
        <v>468</v>
      </c>
      <c r="F83" s="4" t="s">
        <v>106</v>
      </c>
      <c r="G83" s="4" t="s">
        <v>469</v>
      </c>
      <c r="H83" s="4" t="s">
        <v>82</v>
      </c>
      <c r="I83" s="4" t="s">
        <v>176</v>
      </c>
      <c r="J83" s="8" t="s">
        <v>22</v>
      </c>
      <c r="K83" s="8" t="s">
        <v>84</v>
      </c>
    </row>
    <row r="84" customFormat="false" ht="43.5" hidden="false" customHeight="true" outlineLevel="0" collapsed="false">
      <c r="A84" s="7" t="s">
        <v>470</v>
      </c>
      <c r="B84" s="4" t="s">
        <v>409</v>
      </c>
      <c r="C84" s="4" t="s">
        <v>266</v>
      </c>
      <c r="D84" s="4" t="s">
        <v>471</v>
      </c>
      <c r="E84" s="4" t="s">
        <v>472</v>
      </c>
      <c r="F84" s="4" t="s">
        <v>88</v>
      </c>
      <c r="G84" s="4" t="s">
        <v>473</v>
      </c>
      <c r="H84" s="4" t="s">
        <v>114</v>
      </c>
      <c r="I84" s="4" t="s">
        <v>176</v>
      </c>
      <c r="J84" s="8" t="s">
        <v>22</v>
      </c>
      <c r="K84" s="8" t="s">
        <v>84</v>
      </c>
    </row>
    <row r="85" customFormat="false" ht="43.5" hidden="false" customHeight="true" outlineLevel="0" collapsed="false">
      <c r="A85" s="7" t="s">
        <v>474</v>
      </c>
      <c r="B85" s="4" t="s">
        <v>409</v>
      </c>
      <c r="C85" s="4" t="s">
        <v>134</v>
      </c>
      <c r="D85" s="4" t="s">
        <v>475</v>
      </c>
      <c r="E85" s="4" t="s">
        <v>476</v>
      </c>
      <c r="F85" s="4" t="s">
        <v>235</v>
      </c>
      <c r="G85" s="4" t="s">
        <v>477</v>
      </c>
      <c r="H85" s="4" t="s">
        <v>82</v>
      </c>
      <c r="I85" s="4" t="s">
        <v>478</v>
      </c>
      <c r="J85" s="8" t="s">
        <v>24</v>
      </c>
      <c r="K85" s="8" t="s">
        <v>84</v>
      </c>
    </row>
    <row r="86" customFormat="false" ht="43.5" hidden="false" customHeight="true" outlineLevel="0" collapsed="false">
      <c r="A86" s="7" t="s">
        <v>479</v>
      </c>
      <c r="B86" s="4" t="s">
        <v>409</v>
      </c>
      <c r="C86" s="4" t="s">
        <v>134</v>
      </c>
      <c r="D86" s="4" t="s">
        <v>480</v>
      </c>
      <c r="E86" s="4" t="s">
        <v>481</v>
      </c>
      <c r="F86" s="4" t="s">
        <v>88</v>
      </c>
      <c r="G86" s="4" t="s">
        <v>482</v>
      </c>
      <c r="H86" s="4" t="s">
        <v>90</v>
      </c>
      <c r="I86" s="4" t="s">
        <v>483</v>
      </c>
      <c r="J86" s="9" t="s">
        <v>26</v>
      </c>
      <c r="K86" s="8" t="s">
        <v>84</v>
      </c>
    </row>
    <row r="87" customFormat="false" ht="43.5" hidden="false" customHeight="true" outlineLevel="0" collapsed="false">
      <c r="A87" s="7" t="s">
        <v>484</v>
      </c>
      <c r="B87" s="4" t="s">
        <v>409</v>
      </c>
      <c r="C87" s="4" t="s">
        <v>134</v>
      </c>
      <c r="D87" s="4" t="s">
        <v>485</v>
      </c>
      <c r="E87" s="4" t="s">
        <v>486</v>
      </c>
      <c r="F87" s="4" t="s">
        <v>88</v>
      </c>
      <c r="G87" s="4" t="s">
        <v>487</v>
      </c>
      <c r="H87" s="4" t="s">
        <v>90</v>
      </c>
      <c r="I87" s="4" t="s">
        <v>488</v>
      </c>
      <c r="J87" s="10" t="s">
        <v>28</v>
      </c>
      <c r="K87" s="8" t="s">
        <v>84</v>
      </c>
    </row>
    <row r="88" customFormat="false" ht="43.5" hidden="false" customHeight="true" outlineLevel="0" collapsed="false">
      <c r="A88" s="7" t="s">
        <v>489</v>
      </c>
      <c r="B88" s="4" t="s">
        <v>409</v>
      </c>
      <c r="C88" s="4" t="s">
        <v>134</v>
      </c>
      <c r="D88" s="4" t="s">
        <v>490</v>
      </c>
      <c r="E88" s="4" t="s">
        <v>491</v>
      </c>
      <c r="F88" s="4" t="s">
        <v>88</v>
      </c>
      <c r="G88" s="4" t="s">
        <v>492</v>
      </c>
      <c r="H88" s="4" t="s">
        <v>90</v>
      </c>
      <c r="I88" s="4" t="s">
        <v>493</v>
      </c>
      <c r="J88" s="9" t="s">
        <v>26</v>
      </c>
      <c r="K88" s="8" t="s">
        <v>84</v>
      </c>
    </row>
    <row r="89" customFormat="false" ht="43.5" hidden="false" customHeight="true" outlineLevel="0" collapsed="false">
      <c r="A89" s="7" t="s">
        <v>494</v>
      </c>
      <c r="B89" s="4" t="s">
        <v>409</v>
      </c>
      <c r="C89" s="4" t="s">
        <v>134</v>
      </c>
      <c r="D89" s="4" t="s">
        <v>495</v>
      </c>
      <c r="E89" s="4" t="s">
        <v>496</v>
      </c>
      <c r="F89" s="4" t="s">
        <v>88</v>
      </c>
      <c r="G89" s="4" t="s">
        <v>497</v>
      </c>
      <c r="H89" s="4" t="s">
        <v>225</v>
      </c>
      <c r="I89" s="4" t="s">
        <v>498</v>
      </c>
      <c r="J89" s="10" t="s">
        <v>28</v>
      </c>
      <c r="K89" s="11" t="s">
        <v>102</v>
      </c>
    </row>
    <row r="90" customFormat="false" ht="43.5" hidden="false" customHeight="true" outlineLevel="0" collapsed="false">
      <c r="A90" s="7" t="s">
        <v>499</v>
      </c>
      <c r="B90" s="4" t="s">
        <v>409</v>
      </c>
      <c r="C90" s="4" t="s">
        <v>134</v>
      </c>
      <c r="D90" s="4" t="s">
        <v>500</v>
      </c>
      <c r="E90" s="4" t="s">
        <v>501</v>
      </c>
      <c r="F90" s="4" t="s">
        <v>237</v>
      </c>
      <c r="G90" s="4" t="s">
        <v>236</v>
      </c>
      <c r="H90" s="4" t="s">
        <v>237</v>
      </c>
      <c r="I90" s="4" t="s">
        <v>502</v>
      </c>
      <c r="J90" s="10" t="s">
        <v>28</v>
      </c>
      <c r="K90" s="7" t="s">
        <v>116</v>
      </c>
    </row>
    <row r="91" customFormat="false" ht="43.5" hidden="false" customHeight="true" outlineLevel="0" collapsed="false">
      <c r="A91" s="7" t="s">
        <v>503</v>
      </c>
      <c r="B91" s="4" t="s">
        <v>409</v>
      </c>
      <c r="C91" s="4" t="s">
        <v>134</v>
      </c>
      <c r="D91" s="4" t="s">
        <v>504</v>
      </c>
      <c r="E91" s="4" t="s">
        <v>505</v>
      </c>
      <c r="F91" s="4" t="s">
        <v>88</v>
      </c>
      <c r="G91" s="4" t="s">
        <v>506</v>
      </c>
      <c r="H91" s="4" t="s">
        <v>90</v>
      </c>
      <c r="I91" s="4" t="s">
        <v>507</v>
      </c>
      <c r="J91" s="8" t="s">
        <v>24</v>
      </c>
      <c r="K91" s="8" t="s">
        <v>84</v>
      </c>
    </row>
    <row r="92" customFormat="false" ht="43.5" hidden="false" customHeight="true" outlineLevel="0" collapsed="false">
      <c r="A92" s="7" t="s">
        <v>508</v>
      </c>
      <c r="B92" s="4" t="s">
        <v>409</v>
      </c>
      <c r="C92" s="4" t="s">
        <v>134</v>
      </c>
      <c r="D92" s="4" t="s">
        <v>509</v>
      </c>
      <c r="E92" s="4" t="s">
        <v>510</v>
      </c>
      <c r="F92" s="4" t="s">
        <v>214</v>
      </c>
      <c r="G92" s="4" t="s">
        <v>511</v>
      </c>
      <c r="H92" s="4" t="s">
        <v>82</v>
      </c>
      <c r="I92" s="4" t="s">
        <v>512</v>
      </c>
      <c r="J92" s="8" t="s">
        <v>24</v>
      </c>
      <c r="K92" s="8" t="s">
        <v>84</v>
      </c>
    </row>
    <row r="93" customFormat="false" ht="43.5" hidden="false" customHeight="true" outlineLevel="0" collapsed="false">
      <c r="A93" s="7" t="s">
        <v>513</v>
      </c>
      <c r="B93" s="4" t="s">
        <v>409</v>
      </c>
      <c r="C93" s="4" t="s">
        <v>157</v>
      </c>
      <c r="D93" s="4" t="s">
        <v>514</v>
      </c>
      <c r="E93" s="4" t="s">
        <v>515</v>
      </c>
      <c r="F93" s="4" t="s">
        <v>106</v>
      </c>
      <c r="G93" s="4" t="s">
        <v>516</v>
      </c>
      <c r="H93" s="4" t="s">
        <v>82</v>
      </c>
      <c r="I93" s="4" t="s">
        <v>176</v>
      </c>
      <c r="J93" s="8" t="s">
        <v>22</v>
      </c>
      <c r="K93" s="8" t="s">
        <v>84</v>
      </c>
    </row>
    <row r="94" customFormat="false" ht="43.5" hidden="false" customHeight="true" outlineLevel="0" collapsed="false">
      <c r="A94" s="7" t="s">
        <v>517</v>
      </c>
      <c r="B94" s="4" t="s">
        <v>409</v>
      </c>
      <c r="C94" s="4" t="s">
        <v>157</v>
      </c>
      <c r="D94" s="4" t="s">
        <v>518</v>
      </c>
      <c r="E94" s="4" t="s">
        <v>519</v>
      </c>
      <c r="F94" s="4" t="s">
        <v>106</v>
      </c>
      <c r="G94" s="4" t="s">
        <v>520</v>
      </c>
      <c r="H94" s="4" t="s">
        <v>82</v>
      </c>
      <c r="I94" s="4" t="s">
        <v>176</v>
      </c>
      <c r="J94" s="8" t="s">
        <v>22</v>
      </c>
      <c r="K94" s="8" t="s">
        <v>84</v>
      </c>
    </row>
    <row r="95" customFormat="false" ht="43.5" hidden="false" customHeight="true" outlineLevel="0" collapsed="false">
      <c r="A95" s="7" t="s">
        <v>521</v>
      </c>
      <c r="B95" s="4" t="s">
        <v>409</v>
      </c>
      <c r="C95" s="4" t="s">
        <v>183</v>
      </c>
      <c r="D95" s="4" t="s">
        <v>522</v>
      </c>
      <c r="E95" s="4" t="s">
        <v>523</v>
      </c>
      <c r="F95" s="4" t="s">
        <v>188</v>
      </c>
      <c r="G95" s="4" t="s">
        <v>524</v>
      </c>
      <c r="H95" s="4" t="s">
        <v>188</v>
      </c>
      <c r="I95" s="4" t="s">
        <v>525</v>
      </c>
      <c r="J95" s="8" t="s">
        <v>22</v>
      </c>
      <c r="K95" s="8" t="s">
        <v>84</v>
      </c>
    </row>
    <row r="96" customFormat="false" ht="43.5" hidden="false" customHeight="true" outlineLevel="0" collapsed="false">
      <c r="A96" s="7" t="s">
        <v>526</v>
      </c>
      <c r="B96" s="4" t="s">
        <v>409</v>
      </c>
      <c r="C96" s="4" t="s">
        <v>183</v>
      </c>
      <c r="D96" s="4" t="s">
        <v>527</v>
      </c>
      <c r="E96" s="4" t="s">
        <v>528</v>
      </c>
      <c r="F96" s="4" t="s">
        <v>188</v>
      </c>
      <c r="G96" s="4" t="s">
        <v>529</v>
      </c>
      <c r="H96" s="4" t="s">
        <v>188</v>
      </c>
      <c r="I96" s="4" t="s">
        <v>176</v>
      </c>
      <c r="J96" s="8" t="s">
        <v>22</v>
      </c>
      <c r="K96" s="8" t="s">
        <v>84</v>
      </c>
    </row>
    <row r="97" customFormat="false" ht="43.5" hidden="false" customHeight="true" outlineLevel="0" collapsed="false">
      <c r="A97" s="7" t="s">
        <v>530</v>
      </c>
      <c r="B97" s="4" t="s">
        <v>409</v>
      </c>
      <c r="C97" s="4" t="s">
        <v>183</v>
      </c>
      <c r="D97" s="4" t="s">
        <v>531</v>
      </c>
      <c r="E97" s="4" t="s">
        <v>532</v>
      </c>
      <c r="F97" s="4" t="s">
        <v>186</v>
      </c>
      <c r="G97" s="4" t="s">
        <v>533</v>
      </c>
      <c r="H97" s="4" t="s">
        <v>188</v>
      </c>
      <c r="I97" s="4" t="s">
        <v>176</v>
      </c>
      <c r="J97" s="8" t="s">
        <v>22</v>
      </c>
      <c r="K97" s="8" t="s">
        <v>84</v>
      </c>
    </row>
    <row r="98" customFormat="false" ht="43.5" hidden="false" customHeight="true" outlineLevel="0" collapsed="false">
      <c r="A98" s="7" t="s">
        <v>534</v>
      </c>
      <c r="B98" s="4" t="s">
        <v>409</v>
      </c>
      <c r="C98" s="4" t="s">
        <v>211</v>
      </c>
      <c r="D98" s="4" t="s">
        <v>535</v>
      </c>
      <c r="E98" s="4" t="s">
        <v>536</v>
      </c>
      <c r="F98" s="4" t="s">
        <v>214</v>
      </c>
      <c r="G98" s="4" t="s">
        <v>537</v>
      </c>
      <c r="H98" s="4" t="s">
        <v>82</v>
      </c>
      <c r="I98" s="4" t="s">
        <v>176</v>
      </c>
      <c r="J98" s="8" t="s">
        <v>22</v>
      </c>
      <c r="K98" s="8" t="s">
        <v>84</v>
      </c>
    </row>
    <row r="99" customFormat="false" ht="43.5" hidden="false" customHeight="true" outlineLevel="0" collapsed="false">
      <c r="A99" s="7" t="s">
        <v>538</v>
      </c>
      <c r="B99" s="4" t="s">
        <v>409</v>
      </c>
      <c r="C99" s="4" t="s">
        <v>211</v>
      </c>
      <c r="D99" s="4" t="s">
        <v>539</v>
      </c>
      <c r="E99" s="4" t="s">
        <v>540</v>
      </c>
      <c r="F99" s="4" t="s">
        <v>237</v>
      </c>
      <c r="G99" s="4" t="s">
        <v>541</v>
      </c>
      <c r="H99" s="4" t="s">
        <v>237</v>
      </c>
      <c r="I99" s="4" t="s">
        <v>176</v>
      </c>
      <c r="J99" s="11" t="s">
        <v>30</v>
      </c>
      <c r="K99" s="7" t="s">
        <v>116</v>
      </c>
    </row>
    <row r="100" customFormat="false" ht="43.5" hidden="false" customHeight="true" outlineLevel="0" collapsed="false">
      <c r="A100" s="7" t="s">
        <v>542</v>
      </c>
      <c r="B100" s="4" t="s">
        <v>409</v>
      </c>
      <c r="C100" s="4" t="s">
        <v>221</v>
      </c>
      <c r="D100" s="4" t="s">
        <v>543</v>
      </c>
      <c r="E100" s="4" t="s">
        <v>544</v>
      </c>
      <c r="F100" s="4" t="s">
        <v>106</v>
      </c>
      <c r="G100" s="4" t="s">
        <v>545</v>
      </c>
      <c r="H100" s="4" t="s">
        <v>82</v>
      </c>
      <c r="I100" s="4" t="s">
        <v>176</v>
      </c>
      <c r="J100" s="8" t="s">
        <v>22</v>
      </c>
      <c r="K100" s="11" t="s">
        <v>102</v>
      </c>
    </row>
    <row r="101" customFormat="false" ht="43.5" hidden="false" customHeight="true" outlineLevel="0" collapsed="false">
      <c r="A101" s="7" t="s">
        <v>546</v>
      </c>
      <c r="B101" s="4" t="s">
        <v>409</v>
      </c>
      <c r="C101" s="4" t="s">
        <v>221</v>
      </c>
      <c r="D101" s="4" t="s">
        <v>547</v>
      </c>
      <c r="E101" s="4" t="s">
        <v>548</v>
      </c>
      <c r="F101" s="4" t="s">
        <v>237</v>
      </c>
      <c r="G101" s="4" t="s">
        <v>236</v>
      </c>
      <c r="H101" s="4" t="s">
        <v>237</v>
      </c>
      <c r="I101" s="4" t="s">
        <v>176</v>
      </c>
      <c r="J101" s="11" t="s">
        <v>30</v>
      </c>
      <c r="K101" s="7" t="s">
        <v>116</v>
      </c>
    </row>
    <row r="102" customFormat="false" ht="43.5" hidden="false" customHeight="true" outlineLevel="0" collapsed="false">
      <c r="A102" s="7" t="s">
        <v>549</v>
      </c>
      <c r="B102" s="4" t="s">
        <v>409</v>
      </c>
      <c r="C102" s="4" t="s">
        <v>221</v>
      </c>
      <c r="D102" s="4" t="s">
        <v>550</v>
      </c>
      <c r="E102" s="4" t="s">
        <v>551</v>
      </c>
      <c r="F102" s="4" t="s">
        <v>237</v>
      </c>
      <c r="G102" s="4" t="s">
        <v>236</v>
      </c>
      <c r="H102" s="4" t="s">
        <v>237</v>
      </c>
      <c r="I102" s="4" t="s">
        <v>176</v>
      </c>
      <c r="J102" s="11" t="s">
        <v>30</v>
      </c>
      <c r="K102" s="7" t="s">
        <v>116</v>
      </c>
    </row>
    <row r="103" customFormat="false" ht="43.5" hidden="false" customHeight="true" outlineLevel="0" collapsed="false">
      <c r="A103" s="7" t="s">
        <v>552</v>
      </c>
      <c r="B103" s="4" t="s">
        <v>409</v>
      </c>
      <c r="C103" s="4" t="s">
        <v>243</v>
      </c>
      <c r="D103" s="4" t="s">
        <v>553</v>
      </c>
      <c r="E103" s="4" t="s">
        <v>554</v>
      </c>
      <c r="F103" s="4" t="s">
        <v>555</v>
      </c>
      <c r="G103" s="4" t="s">
        <v>556</v>
      </c>
      <c r="H103" s="4" t="s">
        <v>225</v>
      </c>
      <c r="I103" s="4" t="s">
        <v>252</v>
      </c>
      <c r="J103" s="8" t="s">
        <v>24</v>
      </c>
      <c r="K103" s="8" t="s">
        <v>84</v>
      </c>
    </row>
    <row r="104" customFormat="false" ht="43.5" hidden="false" customHeight="true" outlineLevel="0" collapsed="false">
      <c r="A104" s="7" t="s">
        <v>557</v>
      </c>
      <c r="B104" s="4" t="s">
        <v>409</v>
      </c>
      <c r="C104" s="4" t="s">
        <v>243</v>
      </c>
      <c r="D104" s="4" t="s">
        <v>558</v>
      </c>
      <c r="E104" s="4" t="s">
        <v>559</v>
      </c>
      <c r="F104" s="4" t="s">
        <v>88</v>
      </c>
      <c r="G104" s="4" t="s">
        <v>560</v>
      </c>
      <c r="H104" s="4" t="s">
        <v>90</v>
      </c>
      <c r="I104" s="4" t="s">
        <v>398</v>
      </c>
      <c r="J104" s="9" t="s">
        <v>26</v>
      </c>
      <c r="K104" s="8" t="s">
        <v>84</v>
      </c>
    </row>
    <row r="105" customFormat="false" ht="43.5" hidden="false" customHeight="true" outlineLevel="0" collapsed="false">
      <c r="A105" s="7" t="s">
        <v>561</v>
      </c>
      <c r="B105" s="4" t="s">
        <v>409</v>
      </c>
      <c r="C105" s="4" t="s">
        <v>243</v>
      </c>
      <c r="D105" s="4" t="s">
        <v>562</v>
      </c>
      <c r="E105" s="4" t="s">
        <v>563</v>
      </c>
      <c r="F105" s="4" t="s">
        <v>250</v>
      </c>
      <c r="G105" s="4" t="s">
        <v>564</v>
      </c>
      <c r="H105" s="4" t="s">
        <v>114</v>
      </c>
      <c r="I105" s="4" t="s">
        <v>176</v>
      </c>
      <c r="J105" s="8" t="s">
        <v>22</v>
      </c>
      <c r="K105" s="8" t="s">
        <v>84</v>
      </c>
    </row>
    <row r="106" customFormat="false" ht="43.5" hidden="false" customHeight="true" outlineLevel="0" collapsed="false">
      <c r="A106" s="7" t="s">
        <v>565</v>
      </c>
      <c r="B106" s="4" t="s">
        <v>409</v>
      </c>
      <c r="C106" s="4" t="s">
        <v>243</v>
      </c>
      <c r="D106" s="4" t="s">
        <v>566</v>
      </c>
      <c r="E106" s="4" t="s">
        <v>567</v>
      </c>
      <c r="F106" s="4" t="s">
        <v>250</v>
      </c>
      <c r="G106" s="4" t="s">
        <v>568</v>
      </c>
      <c r="H106" s="4" t="s">
        <v>114</v>
      </c>
      <c r="I106" s="4" t="s">
        <v>176</v>
      </c>
      <c r="J106" s="8" t="s">
        <v>22</v>
      </c>
      <c r="K106" s="8" t="s">
        <v>84</v>
      </c>
    </row>
    <row r="107" customFormat="false" ht="43.5" hidden="false" customHeight="true" outlineLevel="0" collapsed="false">
      <c r="A107" s="7" t="s">
        <v>569</v>
      </c>
      <c r="B107" s="4" t="s">
        <v>409</v>
      </c>
      <c r="C107" s="4" t="s">
        <v>243</v>
      </c>
      <c r="D107" s="4" t="s">
        <v>570</v>
      </c>
      <c r="E107" s="4" t="s">
        <v>571</v>
      </c>
      <c r="F107" s="4" t="s">
        <v>106</v>
      </c>
      <c r="G107" s="4" t="s">
        <v>572</v>
      </c>
      <c r="H107" s="4" t="s">
        <v>82</v>
      </c>
      <c r="I107" s="4" t="s">
        <v>176</v>
      </c>
      <c r="J107" s="8" t="s">
        <v>22</v>
      </c>
      <c r="K107" s="8" t="s">
        <v>84</v>
      </c>
    </row>
    <row r="108" customFormat="false" ht="43.5" hidden="false" customHeight="true" outlineLevel="0" collapsed="false">
      <c r="A108" s="7" t="s">
        <v>573</v>
      </c>
      <c r="B108" s="4" t="s">
        <v>409</v>
      </c>
      <c r="C108" s="4" t="s">
        <v>243</v>
      </c>
      <c r="D108" s="4" t="s">
        <v>574</v>
      </c>
      <c r="E108" s="4" t="s">
        <v>575</v>
      </c>
      <c r="F108" s="4" t="s">
        <v>235</v>
      </c>
      <c r="G108" s="4" t="s">
        <v>576</v>
      </c>
      <c r="H108" s="4" t="s">
        <v>82</v>
      </c>
      <c r="I108" s="4" t="s">
        <v>577</v>
      </c>
      <c r="J108" s="10" t="s">
        <v>28</v>
      </c>
      <c r="K108" s="11" t="s">
        <v>102</v>
      </c>
    </row>
    <row r="109" customFormat="false" ht="43.5" hidden="false" customHeight="true" outlineLevel="0" collapsed="false">
      <c r="A109" s="7" t="s">
        <v>578</v>
      </c>
      <c r="B109" s="4" t="s">
        <v>409</v>
      </c>
      <c r="C109" s="4" t="s">
        <v>243</v>
      </c>
      <c r="D109" s="4" t="s">
        <v>579</v>
      </c>
      <c r="E109" s="4" t="s">
        <v>580</v>
      </c>
      <c r="F109" s="4" t="s">
        <v>235</v>
      </c>
      <c r="G109" s="4" t="s">
        <v>581</v>
      </c>
      <c r="H109" s="4" t="s">
        <v>82</v>
      </c>
      <c r="I109" s="4" t="s">
        <v>582</v>
      </c>
      <c r="J109" s="10" t="s">
        <v>28</v>
      </c>
      <c r="K109" s="7" t="s">
        <v>116</v>
      </c>
    </row>
    <row r="110" customFormat="false" ht="43.5" hidden="false" customHeight="true" outlineLevel="0" collapsed="false">
      <c r="A110" s="7" t="s">
        <v>583</v>
      </c>
      <c r="B110" s="4" t="s">
        <v>584</v>
      </c>
      <c r="C110" s="4" t="s">
        <v>585</v>
      </c>
      <c r="D110" s="4" t="s">
        <v>586</v>
      </c>
      <c r="E110" s="4" t="s">
        <v>587</v>
      </c>
      <c r="F110" s="4" t="s">
        <v>588</v>
      </c>
      <c r="G110" s="4" t="s">
        <v>589</v>
      </c>
      <c r="H110" s="4" t="s">
        <v>237</v>
      </c>
      <c r="I110" s="4" t="s">
        <v>590</v>
      </c>
      <c r="J110" s="7" t="s">
        <v>32</v>
      </c>
      <c r="K110" s="7" t="s">
        <v>116</v>
      </c>
    </row>
    <row r="111" customFormat="false" ht="43.5" hidden="false" customHeight="true" outlineLevel="0" collapsed="false">
      <c r="A111" s="7" t="s">
        <v>591</v>
      </c>
      <c r="B111" s="4" t="s">
        <v>584</v>
      </c>
      <c r="C111" s="4" t="s">
        <v>585</v>
      </c>
      <c r="D111" s="4" t="s">
        <v>592</v>
      </c>
      <c r="E111" s="4" t="s">
        <v>593</v>
      </c>
      <c r="F111" s="4" t="s">
        <v>588</v>
      </c>
      <c r="G111" s="4" t="s">
        <v>32</v>
      </c>
      <c r="H111" s="4" t="s">
        <v>237</v>
      </c>
      <c r="I111" s="4" t="s">
        <v>176</v>
      </c>
      <c r="J111" s="7" t="s">
        <v>32</v>
      </c>
      <c r="K111" s="7" t="s">
        <v>116</v>
      </c>
    </row>
    <row r="112" customFormat="false" ht="43.5" hidden="false" customHeight="true" outlineLevel="0" collapsed="false">
      <c r="A112" s="7" t="s">
        <v>594</v>
      </c>
      <c r="B112" s="4" t="s">
        <v>584</v>
      </c>
      <c r="C112" s="4" t="s">
        <v>595</v>
      </c>
      <c r="D112" s="4" t="s">
        <v>596</v>
      </c>
      <c r="E112" s="4" t="s">
        <v>597</v>
      </c>
      <c r="F112" s="4" t="s">
        <v>588</v>
      </c>
      <c r="G112" s="4" t="s">
        <v>32</v>
      </c>
      <c r="H112" s="4" t="s">
        <v>237</v>
      </c>
      <c r="I112" s="4" t="s">
        <v>598</v>
      </c>
      <c r="J112" s="7" t="s">
        <v>32</v>
      </c>
      <c r="K112" s="7" t="s">
        <v>116</v>
      </c>
    </row>
    <row r="113" customFormat="false" ht="43.5" hidden="false" customHeight="true" outlineLevel="0" collapsed="false">
      <c r="A113" s="7" t="s">
        <v>599</v>
      </c>
      <c r="B113" s="4" t="s">
        <v>584</v>
      </c>
      <c r="C113" s="4" t="s">
        <v>600</v>
      </c>
      <c r="D113" s="4" t="s">
        <v>601</v>
      </c>
      <c r="E113" s="4" t="s">
        <v>602</v>
      </c>
      <c r="F113" s="4" t="s">
        <v>588</v>
      </c>
      <c r="G113" s="4" t="s">
        <v>32</v>
      </c>
      <c r="H113" s="4" t="s">
        <v>237</v>
      </c>
      <c r="I113" s="4" t="s">
        <v>176</v>
      </c>
      <c r="J113" s="7" t="s">
        <v>32</v>
      </c>
      <c r="K113" s="7" t="s">
        <v>116</v>
      </c>
    </row>
    <row r="114" customFormat="false" ht="43.5" hidden="false" customHeight="true" outlineLevel="0" collapsed="false">
      <c r="A114" s="7" t="s">
        <v>603</v>
      </c>
      <c r="B114" s="4" t="s">
        <v>604</v>
      </c>
      <c r="C114" s="4" t="s">
        <v>605</v>
      </c>
      <c r="D114" s="4" t="s">
        <v>606</v>
      </c>
      <c r="E114" s="4" t="s">
        <v>607</v>
      </c>
      <c r="F114" s="4" t="s">
        <v>608</v>
      </c>
      <c r="G114" s="4" t="s">
        <v>32</v>
      </c>
      <c r="H114" s="4" t="s">
        <v>237</v>
      </c>
      <c r="I114" s="4" t="s">
        <v>176</v>
      </c>
      <c r="J114" s="7" t="s">
        <v>32</v>
      </c>
      <c r="K114" s="7" t="s">
        <v>116</v>
      </c>
    </row>
  </sheetData>
  <autoFilter ref="A2:K114"/>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58"/>
    <col collapsed="false" customWidth="true" hidden="false" outlineLevel="0" max="4" min="4" style="0" width="19"/>
    <col collapsed="false" customWidth="true" hidden="false" outlineLevel="0" max="5" min="5" style="0" width="62"/>
    <col collapsed="false" customWidth="true" hidden="false" outlineLevel="0" max="6" min="6" style="0" width="58"/>
    <col collapsed="false" customWidth="true" hidden="false" outlineLevel="0" max="7" min="7" style="0" width="46"/>
  </cols>
  <sheetData>
    <row r="1" customFormat="false" ht="25.5" hidden="false" customHeight="true" outlineLevel="0" collapsed="false">
      <c r="A1" s="5" t="s">
        <v>609</v>
      </c>
      <c r="B1" s="5"/>
      <c r="C1" s="5"/>
      <c r="D1" s="5"/>
      <c r="E1" s="5"/>
      <c r="F1" s="5"/>
      <c r="G1" s="5"/>
    </row>
    <row r="2" customFormat="false" ht="30" hidden="false" customHeight="true" outlineLevel="0" collapsed="false">
      <c r="A2" s="6" t="s">
        <v>610</v>
      </c>
      <c r="B2" s="6" t="s">
        <v>611</v>
      </c>
      <c r="C2" s="6" t="s">
        <v>612</v>
      </c>
      <c r="D2" s="6" t="s">
        <v>613</v>
      </c>
      <c r="E2" s="6" t="s">
        <v>614</v>
      </c>
      <c r="F2" s="6" t="s">
        <v>615</v>
      </c>
      <c r="G2" s="6" t="s">
        <v>616</v>
      </c>
    </row>
    <row r="3" customFormat="false" ht="91.5" hidden="false" customHeight="true" outlineLevel="0" collapsed="false">
      <c r="A3" s="12" t="s">
        <v>617</v>
      </c>
      <c r="B3" s="13" t="s">
        <v>618</v>
      </c>
      <c r="C3" s="14" t="s">
        <v>619</v>
      </c>
      <c r="D3" s="15" t="s">
        <v>620</v>
      </c>
      <c r="E3" s="4" t="s">
        <v>621</v>
      </c>
      <c r="F3" s="4" t="s">
        <v>622</v>
      </c>
      <c r="G3" s="16" t="s">
        <v>623</v>
      </c>
    </row>
    <row r="4" customFormat="false" ht="91.5" hidden="false" customHeight="true" outlineLevel="0" collapsed="false">
      <c r="A4" s="12" t="s">
        <v>624</v>
      </c>
      <c r="B4" s="13" t="s">
        <v>625</v>
      </c>
      <c r="C4" s="14" t="s">
        <v>626</v>
      </c>
      <c r="D4" s="15" t="s">
        <v>627</v>
      </c>
      <c r="E4" s="4" t="s">
        <v>628</v>
      </c>
      <c r="F4" s="4" t="s">
        <v>629</v>
      </c>
      <c r="G4" s="16" t="s">
        <v>630</v>
      </c>
    </row>
    <row r="5" customFormat="false" ht="91.5" hidden="false" customHeight="true" outlineLevel="0" collapsed="false">
      <c r="A5" s="12" t="s">
        <v>631</v>
      </c>
      <c r="B5" s="13" t="s">
        <v>632</v>
      </c>
      <c r="C5" s="14" t="s">
        <v>633</v>
      </c>
      <c r="D5" s="15" t="s">
        <v>620</v>
      </c>
      <c r="E5" s="4" t="s">
        <v>634</v>
      </c>
      <c r="F5" s="4" t="s">
        <v>635</v>
      </c>
      <c r="G5" s="4" t="s">
        <v>237</v>
      </c>
    </row>
    <row r="6" customFormat="false" ht="91.5" hidden="false" customHeight="true" outlineLevel="0" collapsed="false">
      <c r="A6" s="12" t="s">
        <v>636</v>
      </c>
      <c r="B6" s="13" t="s">
        <v>637</v>
      </c>
      <c r="C6" s="14" t="s">
        <v>638</v>
      </c>
      <c r="D6" s="15" t="s">
        <v>88</v>
      </c>
      <c r="E6" s="4" t="s">
        <v>639</v>
      </c>
      <c r="F6" s="4" t="s">
        <v>640</v>
      </c>
      <c r="G6" s="16" t="s">
        <v>641</v>
      </c>
    </row>
    <row r="7" customFormat="false" ht="91.5" hidden="false" customHeight="true" outlineLevel="0" collapsed="false">
      <c r="A7" s="12" t="s">
        <v>642</v>
      </c>
      <c r="B7" s="13" t="s">
        <v>643</v>
      </c>
      <c r="C7" s="14" t="s">
        <v>644</v>
      </c>
      <c r="D7" s="15" t="s">
        <v>88</v>
      </c>
      <c r="E7" s="4" t="s">
        <v>645</v>
      </c>
      <c r="F7" s="4" t="s">
        <v>646</v>
      </c>
      <c r="G7" s="4" t="s">
        <v>237</v>
      </c>
    </row>
    <row r="8" customFormat="false" ht="91.5" hidden="false" customHeight="true" outlineLevel="0" collapsed="false">
      <c r="A8" s="12" t="s">
        <v>647</v>
      </c>
      <c r="B8" s="13" t="s">
        <v>648</v>
      </c>
      <c r="C8" s="14" t="s">
        <v>649</v>
      </c>
      <c r="D8" s="15" t="s">
        <v>650</v>
      </c>
      <c r="E8" s="4" t="s">
        <v>651</v>
      </c>
      <c r="F8" s="4" t="s">
        <v>652</v>
      </c>
      <c r="G8" s="16" t="s">
        <v>653</v>
      </c>
    </row>
    <row r="9" customFormat="false" ht="91.5" hidden="false" customHeight="true" outlineLevel="0" collapsed="false">
      <c r="A9" s="12" t="s">
        <v>654</v>
      </c>
      <c r="B9" s="13" t="s">
        <v>655</v>
      </c>
      <c r="C9" s="14" t="s">
        <v>656</v>
      </c>
      <c r="D9" s="15" t="s">
        <v>148</v>
      </c>
      <c r="E9" s="4" t="s">
        <v>657</v>
      </c>
      <c r="F9" s="4" t="s">
        <v>658</v>
      </c>
      <c r="G9" s="4" t="s">
        <v>237</v>
      </c>
    </row>
    <row r="10" customFormat="false" ht="91.5" hidden="false" customHeight="true" outlineLevel="0" collapsed="false">
      <c r="A10" s="12" t="s">
        <v>659</v>
      </c>
      <c r="B10" s="13" t="s">
        <v>660</v>
      </c>
      <c r="C10" s="14" t="s">
        <v>661</v>
      </c>
      <c r="D10" s="15" t="s">
        <v>106</v>
      </c>
      <c r="E10" s="4" t="s">
        <v>662</v>
      </c>
      <c r="F10" s="4" t="s">
        <v>663</v>
      </c>
      <c r="G10" s="4" t="s">
        <v>237</v>
      </c>
    </row>
    <row r="11" customFormat="false" ht="91.5" hidden="false" customHeight="true" outlineLevel="0" collapsed="false">
      <c r="A11" s="12" t="s">
        <v>664</v>
      </c>
      <c r="B11" s="13" t="s">
        <v>665</v>
      </c>
      <c r="C11" s="14" t="s">
        <v>666</v>
      </c>
      <c r="D11" s="15" t="s">
        <v>106</v>
      </c>
      <c r="E11" s="4" t="s">
        <v>667</v>
      </c>
      <c r="F11" s="4" t="s">
        <v>668</v>
      </c>
      <c r="G11" s="16" t="s">
        <v>669</v>
      </c>
    </row>
    <row r="12" customFormat="false" ht="91.5" hidden="false" customHeight="true" outlineLevel="0" collapsed="false">
      <c r="A12" s="12" t="s">
        <v>670</v>
      </c>
      <c r="B12" s="13" t="s">
        <v>671</v>
      </c>
      <c r="C12" s="14" t="s">
        <v>672</v>
      </c>
      <c r="D12" s="15" t="s">
        <v>80</v>
      </c>
      <c r="E12" s="4" t="s">
        <v>673</v>
      </c>
      <c r="F12" s="4" t="s">
        <v>674</v>
      </c>
      <c r="G12" s="4" t="s">
        <v>237</v>
      </c>
    </row>
    <row r="13" customFormat="false" ht="91.5" hidden="false" customHeight="true" outlineLevel="0" collapsed="false">
      <c r="A13" s="12" t="s">
        <v>675</v>
      </c>
      <c r="B13" s="13" t="s">
        <v>676</v>
      </c>
      <c r="C13" s="14" t="s">
        <v>677</v>
      </c>
      <c r="D13" s="15" t="s">
        <v>678</v>
      </c>
      <c r="E13" s="4" t="s">
        <v>679</v>
      </c>
      <c r="F13" s="4" t="s">
        <v>680</v>
      </c>
      <c r="G13" s="4" t="s">
        <v>237</v>
      </c>
    </row>
    <row r="14" customFormat="false" ht="91.5" hidden="false" customHeight="true" outlineLevel="0" collapsed="false">
      <c r="A14" s="12" t="s">
        <v>681</v>
      </c>
      <c r="B14" s="13" t="s">
        <v>682</v>
      </c>
      <c r="C14" s="14" t="s">
        <v>683</v>
      </c>
      <c r="D14" s="15" t="s">
        <v>88</v>
      </c>
      <c r="E14" s="4" t="s">
        <v>684</v>
      </c>
      <c r="F14" s="4" t="s">
        <v>685</v>
      </c>
      <c r="G14" s="4" t="s">
        <v>237</v>
      </c>
    </row>
    <row r="15" customFormat="false" ht="91.5" hidden="false" customHeight="true" outlineLevel="0" collapsed="false">
      <c r="A15" s="12" t="s">
        <v>686</v>
      </c>
      <c r="B15" s="13" t="s">
        <v>687</v>
      </c>
      <c r="C15" s="14" t="s">
        <v>688</v>
      </c>
      <c r="D15" s="15" t="s">
        <v>88</v>
      </c>
      <c r="E15" s="4" t="s">
        <v>689</v>
      </c>
      <c r="F15" s="4" t="s">
        <v>690</v>
      </c>
      <c r="G15" s="16" t="s">
        <v>691</v>
      </c>
    </row>
    <row r="16" customFormat="false" ht="91.5" hidden="false" customHeight="true" outlineLevel="0" collapsed="false">
      <c r="A16" s="12" t="s">
        <v>692</v>
      </c>
      <c r="B16" s="13" t="s">
        <v>693</v>
      </c>
      <c r="C16" s="14" t="s">
        <v>694</v>
      </c>
      <c r="D16" s="15" t="s">
        <v>188</v>
      </c>
      <c r="E16" s="4" t="s">
        <v>695</v>
      </c>
      <c r="F16" s="4" t="s">
        <v>696</v>
      </c>
      <c r="G16" s="4" t="s">
        <v>237</v>
      </c>
    </row>
    <row r="17" customFormat="false" ht="91.5" hidden="false" customHeight="true" outlineLevel="0" collapsed="false">
      <c r="A17" s="12" t="s">
        <v>697</v>
      </c>
      <c r="B17" s="13" t="s">
        <v>698</v>
      </c>
      <c r="C17" s="14" t="s">
        <v>699</v>
      </c>
      <c r="D17" s="15" t="s">
        <v>214</v>
      </c>
      <c r="E17" s="4" t="s">
        <v>700</v>
      </c>
      <c r="F17" s="4" t="s">
        <v>701</v>
      </c>
      <c r="G17" s="4" t="s">
        <v>237</v>
      </c>
    </row>
    <row r="18" customFormat="false" ht="91.5" hidden="false" customHeight="true" outlineLevel="0" collapsed="false">
      <c r="A18" s="12" t="s">
        <v>702</v>
      </c>
      <c r="B18" s="13" t="s">
        <v>703</v>
      </c>
      <c r="C18" s="14" t="s">
        <v>704</v>
      </c>
      <c r="D18" s="15" t="s">
        <v>214</v>
      </c>
      <c r="E18" s="4" t="s">
        <v>705</v>
      </c>
      <c r="F18" s="4" t="s">
        <v>706</v>
      </c>
      <c r="G18" s="4" t="s">
        <v>237</v>
      </c>
    </row>
    <row r="19" customFormat="false" ht="91.5" hidden="false" customHeight="true" outlineLevel="0" collapsed="false">
      <c r="A19" s="12" t="s">
        <v>707</v>
      </c>
      <c r="B19" s="13" t="s">
        <v>703</v>
      </c>
      <c r="C19" s="14" t="s">
        <v>708</v>
      </c>
      <c r="D19" s="15" t="s">
        <v>214</v>
      </c>
      <c r="E19" s="4" t="s">
        <v>709</v>
      </c>
      <c r="F19" s="4" t="s">
        <v>710</v>
      </c>
      <c r="G19" s="4" t="s">
        <v>237</v>
      </c>
    </row>
    <row r="20" customFormat="false" ht="91.5" hidden="false" customHeight="true" outlineLevel="0" collapsed="false">
      <c r="A20" s="12" t="s">
        <v>711</v>
      </c>
      <c r="B20" s="13" t="s">
        <v>712</v>
      </c>
      <c r="C20" s="14" t="s">
        <v>713</v>
      </c>
      <c r="D20" s="15" t="s">
        <v>714</v>
      </c>
      <c r="E20" s="4" t="s">
        <v>715</v>
      </c>
      <c r="F20" s="4" t="s">
        <v>716</v>
      </c>
      <c r="G20" s="4" t="s">
        <v>237</v>
      </c>
    </row>
    <row r="21" customFormat="false" ht="91.5" hidden="false" customHeight="true" outlineLevel="0" collapsed="false">
      <c r="A21" s="12" t="s">
        <v>717</v>
      </c>
      <c r="B21" s="13" t="s">
        <v>718</v>
      </c>
      <c r="C21" s="14" t="s">
        <v>719</v>
      </c>
      <c r="D21" s="15" t="s">
        <v>88</v>
      </c>
      <c r="E21" s="4" t="s">
        <v>720</v>
      </c>
      <c r="F21" s="4" t="s">
        <v>721</v>
      </c>
      <c r="G21" s="16" t="s">
        <v>722</v>
      </c>
    </row>
    <row r="22" customFormat="false" ht="91.5" hidden="false" customHeight="true" outlineLevel="0" collapsed="false">
      <c r="A22" s="12" t="s">
        <v>723</v>
      </c>
      <c r="B22" s="13" t="s">
        <v>724</v>
      </c>
      <c r="C22" s="14" t="s">
        <v>725</v>
      </c>
      <c r="D22" s="15" t="s">
        <v>106</v>
      </c>
      <c r="E22" s="4" t="s">
        <v>726</v>
      </c>
      <c r="F22" s="4" t="s">
        <v>727</v>
      </c>
      <c r="G22" s="4" t="s">
        <v>237</v>
      </c>
    </row>
    <row r="23" customFormat="false" ht="91.5" hidden="false" customHeight="true" outlineLevel="0" collapsed="false">
      <c r="A23" s="12" t="s">
        <v>728</v>
      </c>
      <c r="B23" s="13" t="s">
        <v>729</v>
      </c>
      <c r="C23" s="14" t="s">
        <v>730</v>
      </c>
      <c r="D23" s="15" t="s">
        <v>731</v>
      </c>
      <c r="E23" s="4" t="s">
        <v>732</v>
      </c>
      <c r="F23" s="4" t="s">
        <v>733</v>
      </c>
      <c r="G23" s="4" t="s">
        <v>237</v>
      </c>
    </row>
    <row r="24" customFormat="false" ht="91.5" hidden="false" customHeight="true" outlineLevel="0" collapsed="false">
      <c r="A24" s="12" t="s">
        <v>734</v>
      </c>
      <c r="B24" s="13" t="s">
        <v>735</v>
      </c>
      <c r="C24" s="14" t="s">
        <v>736</v>
      </c>
      <c r="D24" s="15" t="s">
        <v>737</v>
      </c>
      <c r="E24" s="4" t="s">
        <v>738</v>
      </c>
      <c r="F24" s="4" t="s">
        <v>739</v>
      </c>
      <c r="G24" s="4" t="s">
        <v>237</v>
      </c>
    </row>
    <row r="25" customFormat="false" ht="91.5" hidden="false" customHeight="true" outlineLevel="0" collapsed="false">
      <c r="A25" s="12" t="s">
        <v>740</v>
      </c>
      <c r="B25" s="13" t="s">
        <v>703</v>
      </c>
      <c r="C25" s="14" t="s">
        <v>741</v>
      </c>
      <c r="D25" s="15" t="s">
        <v>214</v>
      </c>
      <c r="E25" s="4" t="s">
        <v>742</v>
      </c>
      <c r="F25" s="4" t="s">
        <v>743</v>
      </c>
      <c r="G25" s="4" t="s">
        <v>237</v>
      </c>
    </row>
    <row r="26" customFormat="false" ht="91.5" hidden="false" customHeight="true" outlineLevel="0" collapsed="false">
      <c r="A26" s="12" t="s">
        <v>744</v>
      </c>
      <c r="B26" s="13" t="s">
        <v>745</v>
      </c>
      <c r="C26" s="14" t="s">
        <v>746</v>
      </c>
      <c r="D26" s="15" t="s">
        <v>214</v>
      </c>
      <c r="E26" s="4" t="s">
        <v>747</v>
      </c>
      <c r="F26" s="4" t="s">
        <v>748</v>
      </c>
      <c r="G26" s="16" t="s">
        <v>749</v>
      </c>
    </row>
    <row r="27" customFormat="false" ht="91.5" hidden="false" customHeight="true" outlineLevel="0" collapsed="false">
      <c r="A27" s="12" t="s">
        <v>750</v>
      </c>
      <c r="B27" s="13" t="s">
        <v>703</v>
      </c>
      <c r="C27" s="14" t="s">
        <v>751</v>
      </c>
      <c r="D27" s="15" t="s">
        <v>250</v>
      </c>
      <c r="E27" s="4" t="s">
        <v>752</v>
      </c>
      <c r="F27" s="4" t="s">
        <v>753</v>
      </c>
      <c r="G27" s="4" t="s">
        <v>237</v>
      </c>
    </row>
    <row r="28" customFormat="false" ht="91.5" hidden="false" customHeight="true" outlineLevel="0" collapsed="false">
      <c r="A28" s="12" t="s">
        <v>754</v>
      </c>
      <c r="B28" s="13" t="s">
        <v>703</v>
      </c>
      <c r="C28" s="14" t="s">
        <v>755</v>
      </c>
      <c r="D28" s="15" t="s">
        <v>88</v>
      </c>
      <c r="E28" s="4" t="s">
        <v>756</v>
      </c>
      <c r="F28" s="4" t="s">
        <v>757</v>
      </c>
      <c r="G28" s="4" t="s">
        <v>237</v>
      </c>
    </row>
    <row r="29" customFormat="false" ht="91.5" hidden="false" customHeight="true" outlineLevel="0" collapsed="false">
      <c r="A29" s="12" t="s">
        <v>758</v>
      </c>
      <c r="B29" s="13" t="s">
        <v>759</v>
      </c>
      <c r="C29" s="14" t="s">
        <v>760</v>
      </c>
      <c r="D29" s="15" t="s">
        <v>235</v>
      </c>
      <c r="E29" s="4" t="s">
        <v>761</v>
      </c>
      <c r="F29" s="4" t="s">
        <v>762</v>
      </c>
      <c r="G29" s="16" t="s">
        <v>763</v>
      </c>
    </row>
    <row r="30" customFormat="false" ht="91.5" hidden="false" customHeight="true" outlineLevel="0" collapsed="false">
      <c r="A30" s="12" t="s">
        <v>764</v>
      </c>
      <c r="B30" s="13" t="s">
        <v>703</v>
      </c>
      <c r="C30" s="14" t="s">
        <v>765</v>
      </c>
      <c r="D30" s="15" t="s">
        <v>106</v>
      </c>
      <c r="E30" s="4" t="s">
        <v>766</v>
      </c>
      <c r="F30" s="4" t="s">
        <v>767</v>
      </c>
      <c r="G30" s="4" t="s">
        <v>237</v>
      </c>
    </row>
    <row r="31" customFormat="false" ht="91.5" hidden="false" customHeight="true" outlineLevel="0" collapsed="false">
      <c r="A31" s="12" t="s">
        <v>768</v>
      </c>
      <c r="B31" s="13" t="s">
        <v>769</v>
      </c>
      <c r="C31" s="14" t="s">
        <v>770</v>
      </c>
      <c r="D31" s="15" t="s">
        <v>235</v>
      </c>
      <c r="E31" s="4" t="s">
        <v>771</v>
      </c>
      <c r="F31" s="4" t="s">
        <v>772</v>
      </c>
      <c r="G31" s="4" t="s">
        <v>237</v>
      </c>
    </row>
    <row r="32" customFormat="false" ht="91.5" hidden="false" customHeight="true" outlineLevel="0" collapsed="false">
      <c r="A32" s="12" t="s">
        <v>773</v>
      </c>
      <c r="B32" s="13" t="s">
        <v>774</v>
      </c>
      <c r="C32" s="14" t="s">
        <v>775</v>
      </c>
      <c r="D32" s="15" t="s">
        <v>237</v>
      </c>
      <c r="E32" s="4" t="s">
        <v>237</v>
      </c>
      <c r="F32" s="4" t="s">
        <v>237</v>
      </c>
      <c r="G32" s="16" t="s">
        <v>776</v>
      </c>
    </row>
    <row r="34" customFormat="false" ht="19.4" hidden="false" customHeight="false" outlineLevel="0" collapsed="false">
      <c r="A34" s="17" t="s">
        <v>777</v>
      </c>
      <c r="B34" s="18" t="s">
        <v>778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0"/>
    <col collapsed="false" customWidth="true" hidden="false" outlineLevel="0" max="7" min="4" style="0" width="42"/>
    <col collapsed="false" customWidth="true" hidden="false" outlineLevel="0" max="8" min="8" style="0" width="36"/>
  </cols>
  <sheetData>
    <row r="1" customFormat="false" ht="25.5" hidden="false" customHeight="true" outlineLevel="0" collapsed="false">
      <c r="A1" s="5" t="s">
        <v>779</v>
      </c>
      <c r="B1" s="5"/>
      <c r="C1" s="5"/>
      <c r="D1" s="5"/>
      <c r="E1" s="5"/>
      <c r="F1" s="5"/>
      <c r="G1" s="5"/>
      <c r="H1" s="5"/>
    </row>
    <row r="2" customFormat="false" ht="30" hidden="false" customHeight="true" outlineLevel="0" collapsed="false">
      <c r="A2" s="6" t="s">
        <v>780</v>
      </c>
      <c r="B2" s="6" t="s">
        <v>781</v>
      </c>
      <c r="C2" s="6" t="s">
        <v>782</v>
      </c>
      <c r="D2" s="6" t="s">
        <v>783</v>
      </c>
      <c r="E2" s="6" t="s">
        <v>784</v>
      </c>
      <c r="F2" s="6" t="s">
        <v>785</v>
      </c>
      <c r="G2" s="6" t="s">
        <v>786</v>
      </c>
      <c r="H2" s="6" t="s">
        <v>787</v>
      </c>
    </row>
    <row r="3" customFormat="false" ht="48" hidden="false" customHeight="true" outlineLevel="0" collapsed="false">
      <c r="A3" s="7" t="s">
        <v>76</v>
      </c>
      <c r="B3" s="19" t="s">
        <v>788</v>
      </c>
      <c r="C3" s="4" t="s">
        <v>789</v>
      </c>
      <c r="D3" s="4" t="s">
        <v>790</v>
      </c>
      <c r="E3" s="4" t="s">
        <v>791</v>
      </c>
      <c r="F3" s="4" t="s">
        <v>792</v>
      </c>
      <c r="G3" s="4" t="s">
        <v>793</v>
      </c>
      <c r="H3" s="4" t="s">
        <v>794</v>
      </c>
    </row>
    <row r="4" customFormat="false" ht="48" hidden="false" customHeight="true" outlineLevel="0" collapsed="false">
      <c r="A4" s="7" t="s">
        <v>76</v>
      </c>
      <c r="B4" s="19" t="s">
        <v>795</v>
      </c>
      <c r="C4" s="4" t="s">
        <v>796</v>
      </c>
      <c r="D4" s="4" t="s">
        <v>797</v>
      </c>
      <c r="E4" s="4" t="s">
        <v>798</v>
      </c>
      <c r="F4" s="4" t="s">
        <v>799</v>
      </c>
      <c r="G4" s="4" t="s">
        <v>800</v>
      </c>
      <c r="H4" s="4" t="s">
        <v>801</v>
      </c>
    </row>
    <row r="5" customFormat="false" ht="48" hidden="false" customHeight="true" outlineLevel="0" collapsed="false">
      <c r="A5" s="7" t="s">
        <v>76</v>
      </c>
      <c r="B5" s="19" t="s">
        <v>802</v>
      </c>
      <c r="C5" s="4" t="s">
        <v>796</v>
      </c>
      <c r="D5" s="4" t="s">
        <v>803</v>
      </c>
      <c r="E5" s="4" t="s">
        <v>804</v>
      </c>
      <c r="F5" s="4" t="s">
        <v>805</v>
      </c>
      <c r="G5" s="4" t="s">
        <v>806</v>
      </c>
      <c r="H5" s="4" t="s">
        <v>807</v>
      </c>
    </row>
    <row r="6" customFormat="false" ht="48" hidden="false" customHeight="true" outlineLevel="0" collapsed="false">
      <c r="A6" s="7" t="s">
        <v>76</v>
      </c>
      <c r="B6" s="19" t="s">
        <v>808</v>
      </c>
      <c r="C6" s="4" t="s">
        <v>809</v>
      </c>
      <c r="D6" s="4" t="s">
        <v>810</v>
      </c>
      <c r="E6" s="4" t="s">
        <v>811</v>
      </c>
      <c r="F6" s="4" t="s">
        <v>812</v>
      </c>
      <c r="G6" s="4" t="s">
        <v>813</v>
      </c>
      <c r="H6" s="4" t="s">
        <v>814</v>
      </c>
    </row>
    <row r="7" customFormat="false" ht="48" hidden="false" customHeight="true" outlineLevel="0" collapsed="false">
      <c r="A7" s="7" t="s">
        <v>76</v>
      </c>
      <c r="B7" s="19" t="s">
        <v>815</v>
      </c>
      <c r="C7" s="4" t="s">
        <v>796</v>
      </c>
      <c r="D7" s="4" t="s">
        <v>816</v>
      </c>
      <c r="E7" s="4" t="s">
        <v>817</v>
      </c>
      <c r="F7" s="4" t="s">
        <v>818</v>
      </c>
      <c r="G7" s="4" t="s">
        <v>819</v>
      </c>
      <c r="H7" s="4" t="s">
        <v>820</v>
      </c>
    </row>
    <row r="8" customFormat="false" ht="48" hidden="false" customHeight="true" outlineLevel="0" collapsed="false">
      <c r="A8" s="7" t="s">
        <v>265</v>
      </c>
      <c r="B8" s="19" t="s">
        <v>821</v>
      </c>
      <c r="C8" s="4" t="s">
        <v>789</v>
      </c>
      <c r="D8" s="4" t="s">
        <v>822</v>
      </c>
      <c r="E8" s="4" t="s">
        <v>823</v>
      </c>
      <c r="F8" s="4" t="s">
        <v>824</v>
      </c>
      <c r="G8" s="4" t="s">
        <v>793</v>
      </c>
      <c r="H8" s="4" t="s">
        <v>825</v>
      </c>
    </row>
    <row r="9" customFormat="false" ht="48" hidden="false" customHeight="true" outlineLevel="0" collapsed="false">
      <c r="A9" s="7" t="s">
        <v>265</v>
      </c>
      <c r="B9" s="19" t="s">
        <v>826</v>
      </c>
      <c r="C9" s="4" t="s">
        <v>827</v>
      </c>
      <c r="D9" s="4" t="s">
        <v>828</v>
      </c>
      <c r="E9" s="4" t="s">
        <v>829</v>
      </c>
      <c r="F9" s="4" t="s">
        <v>830</v>
      </c>
      <c r="G9" s="4" t="s">
        <v>831</v>
      </c>
      <c r="H9" s="4" t="s">
        <v>832</v>
      </c>
    </row>
    <row r="10" customFormat="false" ht="48" hidden="false" customHeight="true" outlineLevel="0" collapsed="false">
      <c r="A10" s="7" t="s">
        <v>265</v>
      </c>
      <c r="B10" s="19" t="s">
        <v>833</v>
      </c>
      <c r="C10" s="4" t="s">
        <v>827</v>
      </c>
      <c r="D10" s="4" t="s">
        <v>834</v>
      </c>
      <c r="E10" s="4" t="s">
        <v>835</v>
      </c>
      <c r="F10" s="4" t="s">
        <v>836</v>
      </c>
      <c r="G10" s="4" t="s">
        <v>837</v>
      </c>
      <c r="H10" s="4" t="s">
        <v>838</v>
      </c>
    </row>
    <row r="11" customFormat="false" ht="48" hidden="false" customHeight="true" outlineLevel="0" collapsed="false">
      <c r="A11" s="7" t="s">
        <v>265</v>
      </c>
      <c r="B11" s="19" t="s">
        <v>839</v>
      </c>
      <c r="C11" s="4" t="s">
        <v>809</v>
      </c>
      <c r="D11" s="4" t="s">
        <v>840</v>
      </c>
      <c r="E11" s="4" t="s">
        <v>811</v>
      </c>
      <c r="F11" s="4" t="s">
        <v>841</v>
      </c>
      <c r="G11" s="4" t="s">
        <v>842</v>
      </c>
      <c r="H11" s="4" t="s">
        <v>843</v>
      </c>
    </row>
    <row r="12" customFormat="false" ht="48" hidden="false" customHeight="true" outlineLevel="0" collapsed="false">
      <c r="A12" s="7" t="s">
        <v>265</v>
      </c>
      <c r="B12" s="19" t="s">
        <v>844</v>
      </c>
      <c r="C12" s="4" t="s">
        <v>827</v>
      </c>
      <c r="D12" s="4" t="s">
        <v>845</v>
      </c>
      <c r="E12" s="4" t="s">
        <v>237</v>
      </c>
      <c r="F12" s="4" t="s">
        <v>846</v>
      </c>
      <c r="G12" s="4" t="s">
        <v>847</v>
      </c>
      <c r="H12" s="4" t="s">
        <v>237</v>
      </c>
    </row>
    <row r="13" customFormat="false" ht="48" hidden="false" customHeight="true" outlineLevel="0" collapsed="false">
      <c r="A13" s="7" t="s">
        <v>409</v>
      </c>
      <c r="B13" s="19" t="s">
        <v>848</v>
      </c>
      <c r="C13" s="4" t="s">
        <v>789</v>
      </c>
      <c r="D13" s="4" t="s">
        <v>849</v>
      </c>
      <c r="E13" s="4" t="s">
        <v>850</v>
      </c>
      <c r="F13" s="4" t="s">
        <v>824</v>
      </c>
      <c r="G13" s="4" t="s">
        <v>851</v>
      </c>
      <c r="H13" s="4" t="s">
        <v>852</v>
      </c>
    </row>
    <row r="14" customFormat="false" ht="48" hidden="false" customHeight="true" outlineLevel="0" collapsed="false">
      <c r="A14" s="7" t="s">
        <v>409</v>
      </c>
      <c r="B14" s="19" t="s">
        <v>853</v>
      </c>
      <c r="C14" s="4" t="s">
        <v>796</v>
      </c>
      <c r="D14" s="4" t="s">
        <v>854</v>
      </c>
      <c r="E14" s="4" t="s">
        <v>237</v>
      </c>
      <c r="F14" s="4" t="s">
        <v>855</v>
      </c>
      <c r="G14" s="4" t="s">
        <v>856</v>
      </c>
      <c r="H14" s="4" t="s">
        <v>857</v>
      </c>
    </row>
    <row r="15" customFormat="false" ht="48" hidden="false" customHeight="true" outlineLevel="0" collapsed="false">
      <c r="A15" s="7" t="s">
        <v>409</v>
      </c>
      <c r="B15" s="19" t="s">
        <v>795</v>
      </c>
      <c r="C15" s="4" t="s">
        <v>796</v>
      </c>
      <c r="D15" s="4" t="s">
        <v>858</v>
      </c>
      <c r="E15" s="4" t="s">
        <v>859</v>
      </c>
      <c r="F15" s="4" t="s">
        <v>860</v>
      </c>
      <c r="G15" s="4" t="s">
        <v>861</v>
      </c>
      <c r="H15" s="4" t="s">
        <v>862</v>
      </c>
    </row>
    <row r="16" customFormat="false" ht="48" hidden="false" customHeight="true" outlineLevel="0" collapsed="false">
      <c r="A16" s="7" t="s">
        <v>409</v>
      </c>
      <c r="B16" s="19" t="s">
        <v>863</v>
      </c>
      <c r="C16" s="4" t="s">
        <v>796</v>
      </c>
      <c r="D16" s="4" t="s">
        <v>864</v>
      </c>
      <c r="E16" s="4" t="s">
        <v>865</v>
      </c>
      <c r="F16" s="4" t="s">
        <v>866</v>
      </c>
      <c r="G16" s="4" t="s">
        <v>867</v>
      </c>
      <c r="H16" s="4" t="s">
        <v>237</v>
      </c>
    </row>
    <row r="17" customFormat="false" ht="48" hidden="false" customHeight="true" outlineLevel="0" collapsed="false">
      <c r="A17" s="7" t="s">
        <v>409</v>
      </c>
      <c r="B17" s="19" t="s">
        <v>826</v>
      </c>
      <c r="C17" s="4" t="s">
        <v>796</v>
      </c>
      <c r="D17" s="4" t="s">
        <v>868</v>
      </c>
      <c r="E17" s="4" t="s">
        <v>865</v>
      </c>
      <c r="F17" s="4" t="s">
        <v>869</v>
      </c>
      <c r="G17" s="4" t="s">
        <v>870</v>
      </c>
      <c r="H17" s="4" t="s">
        <v>237</v>
      </c>
    </row>
    <row r="18" customFormat="false" ht="48" hidden="false" customHeight="true" outlineLevel="0" collapsed="false">
      <c r="A18" s="7" t="s">
        <v>409</v>
      </c>
      <c r="B18" s="19" t="s">
        <v>871</v>
      </c>
      <c r="C18" s="4" t="s">
        <v>872</v>
      </c>
      <c r="D18" s="4" t="s">
        <v>873</v>
      </c>
      <c r="E18" s="4" t="s">
        <v>237</v>
      </c>
      <c r="F18" s="4" t="s">
        <v>874</v>
      </c>
      <c r="G18" s="4" t="s">
        <v>875</v>
      </c>
      <c r="H18" s="4" t="s">
        <v>876</v>
      </c>
    </row>
    <row r="19" customFormat="false" ht="48" hidden="false" customHeight="true" outlineLevel="0" collapsed="false">
      <c r="A19" s="7" t="s">
        <v>409</v>
      </c>
      <c r="B19" s="19" t="s">
        <v>808</v>
      </c>
      <c r="C19" s="4" t="s">
        <v>809</v>
      </c>
      <c r="D19" s="4" t="s">
        <v>877</v>
      </c>
      <c r="E19" s="4" t="s">
        <v>811</v>
      </c>
      <c r="F19" s="4" t="s">
        <v>841</v>
      </c>
      <c r="G19" s="4" t="s">
        <v>878</v>
      </c>
      <c r="H19" s="4" t="s">
        <v>879</v>
      </c>
    </row>
    <row r="20" customFormat="false" ht="48" hidden="false" customHeight="true" outlineLevel="0" collapsed="false">
      <c r="A20" s="7" t="s">
        <v>409</v>
      </c>
      <c r="B20" s="19" t="s">
        <v>880</v>
      </c>
      <c r="C20" s="4" t="s">
        <v>881</v>
      </c>
      <c r="D20" s="4" t="s">
        <v>882</v>
      </c>
      <c r="E20" s="4" t="s">
        <v>883</v>
      </c>
      <c r="F20" s="4" t="s">
        <v>884</v>
      </c>
      <c r="G20" s="4" t="s">
        <v>885</v>
      </c>
      <c r="H20" s="4" t="s">
        <v>886</v>
      </c>
    </row>
    <row r="21" customFormat="false" ht="48" hidden="false" customHeight="true" outlineLevel="0" collapsed="false">
      <c r="A21" s="7" t="s">
        <v>409</v>
      </c>
      <c r="B21" s="19" t="s">
        <v>887</v>
      </c>
      <c r="C21" s="4" t="s">
        <v>888</v>
      </c>
      <c r="D21" s="4" t="s">
        <v>889</v>
      </c>
      <c r="E21" s="4" t="s">
        <v>754</v>
      </c>
      <c r="F21" s="4" t="s">
        <v>890</v>
      </c>
      <c r="G21" s="4" t="s">
        <v>891</v>
      </c>
      <c r="H21" s="4" t="s">
        <v>892</v>
      </c>
    </row>
    <row r="23" customFormat="false" ht="33.75" hidden="false" customHeight="true" outlineLevel="0" collapsed="false">
      <c r="A23" s="17" t="s">
        <v>893</v>
      </c>
      <c r="B23" s="20" t="s">
        <v>894</v>
      </c>
      <c r="C23" s="20"/>
      <c r="D23" s="20"/>
      <c r="E23" s="20"/>
      <c r="F23" s="20"/>
      <c r="G23" s="20"/>
      <c r="H23" s="20"/>
    </row>
  </sheetData>
  <mergeCells count="2">
    <mergeCell ref="A1:H1"/>
    <mergeCell ref="B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86"/>
    <col collapsed="false" customWidth="true" hidden="false" outlineLevel="0" max="4" min="4" style="0" width="40"/>
  </cols>
  <sheetData>
    <row r="1" customFormat="false" ht="25.5" hidden="false" customHeight="true" outlineLevel="0" collapsed="false">
      <c r="A1" s="5" t="s">
        <v>895</v>
      </c>
      <c r="B1" s="5"/>
      <c r="C1" s="5"/>
      <c r="D1" s="5"/>
    </row>
    <row r="2" customFormat="false" ht="30" hidden="false" customHeight="true" outlineLevel="0" collapsed="false">
      <c r="A2" s="6" t="s">
        <v>64</v>
      </c>
      <c r="B2" s="6" t="s">
        <v>896</v>
      </c>
      <c r="C2" s="6" t="s">
        <v>897</v>
      </c>
      <c r="D2" s="6" t="s">
        <v>898</v>
      </c>
    </row>
    <row r="3" customFormat="false" ht="39.75" hidden="false" customHeight="true" outlineLevel="0" collapsed="false">
      <c r="A3" s="7" t="s">
        <v>899</v>
      </c>
      <c r="B3" s="19" t="s">
        <v>900</v>
      </c>
      <c r="C3" s="4" t="s">
        <v>901</v>
      </c>
      <c r="D3" s="21" t="s">
        <v>902</v>
      </c>
    </row>
    <row r="4" customFormat="false" ht="39.75" hidden="false" customHeight="true" outlineLevel="0" collapsed="false">
      <c r="A4" s="7" t="s">
        <v>903</v>
      </c>
      <c r="B4" s="19" t="s">
        <v>904</v>
      </c>
      <c r="C4" s="4" t="s">
        <v>905</v>
      </c>
      <c r="D4" s="21" t="s">
        <v>906</v>
      </c>
    </row>
    <row r="5" customFormat="false" ht="39.75" hidden="false" customHeight="true" outlineLevel="0" collapsed="false">
      <c r="A5" s="7" t="s">
        <v>907</v>
      </c>
      <c r="B5" s="19" t="s">
        <v>908</v>
      </c>
      <c r="C5" s="4" t="s">
        <v>909</v>
      </c>
      <c r="D5" s="21" t="s">
        <v>910</v>
      </c>
    </row>
    <row r="6" customFormat="false" ht="39.75" hidden="false" customHeight="true" outlineLevel="0" collapsed="false">
      <c r="A6" s="7" t="s">
        <v>911</v>
      </c>
      <c r="B6" s="19" t="s">
        <v>912</v>
      </c>
      <c r="C6" s="4" t="s">
        <v>913</v>
      </c>
      <c r="D6" s="21" t="s">
        <v>914</v>
      </c>
    </row>
    <row r="7" customFormat="false" ht="39.75" hidden="false" customHeight="true" outlineLevel="0" collapsed="false">
      <c r="A7" s="7" t="s">
        <v>915</v>
      </c>
      <c r="B7" s="19" t="s">
        <v>916</v>
      </c>
      <c r="C7" s="4" t="s">
        <v>917</v>
      </c>
      <c r="D7" s="21" t="s">
        <v>918</v>
      </c>
    </row>
    <row r="8" customFormat="false" ht="39.75" hidden="false" customHeight="true" outlineLevel="0" collapsed="false">
      <c r="A8" s="7" t="s">
        <v>919</v>
      </c>
      <c r="B8" s="19" t="s">
        <v>920</v>
      </c>
      <c r="C8" s="4" t="s">
        <v>921</v>
      </c>
      <c r="D8" s="21" t="s">
        <v>922</v>
      </c>
    </row>
    <row r="9" customFormat="false" ht="39.75" hidden="false" customHeight="true" outlineLevel="0" collapsed="false">
      <c r="A9" s="7" t="s">
        <v>923</v>
      </c>
      <c r="B9" s="19" t="s">
        <v>924</v>
      </c>
      <c r="C9" s="4" t="s">
        <v>925</v>
      </c>
      <c r="D9" s="21" t="s">
        <v>926</v>
      </c>
    </row>
    <row r="10" customFormat="false" ht="39.75" hidden="false" customHeight="true" outlineLevel="0" collapsed="false">
      <c r="A10" s="7" t="s">
        <v>927</v>
      </c>
      <c r="B10" s="19" t="s">
        <v>928</v>
      </c>
      <c r="C10" s="4" t="s">
        <v>929</v>
      </c>
      <c r="D10" s="21" t="s">
        <v>930</v>
      </c>
    </row>
    <row r="11" customFormat="false" ht="39.75" hidden="false" customHeight="true" outlineLevel="0" collapsed="false">
      <c r="A11" s="7" t="s">
        <v>931</v>
      </c>
      <c r="B11" s="19" t="s">
        <v>932</v>
      </c>
      <c r="C11" s="4" t="s">
        <v>933</v>
      </c>
      <c r="D11" s="21" t="s">
        <v>934</v>
      </c>
    </row>
    <row r="12" customFormat="false" ht="39.75" hidden="false" customHeight="true" outlineLevel="0" collapsed="false">
      <c r="A12" s="7" t="s">
        <v>935</v>
      </c>
      <c r="B12" s="19" t="s">
        <v>936</v>
      </c>
      <c r="C12" s="4" t="s">
        <v>937</v>
      </c>
      <c r="D12" s="21" t="s">
        <v>938</v>
      </c>
    </row>
    <row r="13" customFormat="false" ht="39.75" hidden="false" customHeight="true" outlineLevel="0" collapsed="false">
      <c r="A13" s="7" t="s">
        <v>939</v>
      </c>
      <c r="B13" s="19" t="s">
        <v>940</v>
      </c>
      <c r="C13" s="4" t="s">
        <v>941</v>
      </c>
      <c r="D13" s="21" t="s">
        <v>942</v>
      </c>
    </row>
    <row r="14" customFormat="false" ht="39.75" hidden="false" customHeight="true" outlineLevel="0" collapsed="false">
      <c r="A14" s="7" t="s">
        <v>943</v>
      </c>
      <c r="B14" s="19" t="s">
        <v>944</v>
      </c>
      <c r="C14" s="4" t="s">
        <v>945</v>
      </c>
      <c r="D14" s="21" t="s">
        <v>946</v>
      </c>
    </row>
    <row r="15" customFormat="false" ht="39.75" hidden="false" customHeight="true" outlineLevel="0" collapsed="false">
      <c r="A15" s="7" t="s">
        <v>947</v>
      </c>
      <c r="B15" s="19" t="s">
        <v>948</v>
      </c>
      <c r="C15" s="4" t="s">
        <v>949</v>
      </c>
      <c r="D15" s="21" t="s">
        <v>950</v>
      </c>
    </row>
    <row r="16" customFormat="false" ht="39.75" hidden="false" customHeight="true" outlineLevel="0" collapsed="false">
      <c r="A16" s="7" t="s">
        <v>951</v>
      </c>
      <c r="B16" s="19" t="s">
        <v>952</v>
      </c>
      <c r="C16" s="4" t="s">
        <v>953</v>
      </c>
      <c r="D16" s="21" t="s">
        <v>954</v>
      </c>
    </row>
    <row r="17" customFormat="false" ht="39.75" hidden="false" customHeight="true" outlineLevel="0" collapsed="false">
      <c r="A17" s="7" t="s">
        <v>955</v>
      </c>
      <c r="B17" s="19" t="s">
        <v>956</v>
      </c>
      <c r="C17" s="4" t="s">
        <v>957</v>
      </c>
      <c r="D17" s="21" t="s">
        <v>958</v>
      </c>
    </row>
    <row r="18" customFormat="false" ht="39.75" hidden="false" customHeight="true" outlineLevel="0" collapsed="false">
      <c r="A18" s="7" t="s">
        <v>959</v>
      </c>
      <c r="B18" s="19" t="s">
        <v>960</v>
      </c>
      <c r="C18" s="4" t="s">
        <v>961</v>
      </c>
      <c r="D18" s="21" t="s">
        <v>958</v>
      </c>
    </row>
    <row r="19" customFormat="false" ht="39.75" hidden="false" customHeight="true" outlineLevel="0" collapsed="false">
      <c r="A19" s="7" t="s">
        <v>962</v>
      </c>
      <c r="B19" s="19" t="s">
        <v>963</v>
      </c>
      <c r="C19" s="4" t="s">
        <v>964</v>
      </c>
      <c r="D19" s="21" t="s">
        <v>965</v>
      </c>
    </row>
    <row r="20" customFormat="false" ht="39.75" hidden="false" customHeight="true" outlineLevel="0" collapsed="false">
      <c r="A20" s="7" t="s">
        <v>966</v>
      </c>
      <c r="B20" s="19" t="s">
        <v>967</v>
      </c>
      <c r="C20" s="4" t="s">
        <v>968</v>
      </c>
      <c r="D20" s="21" t="s">
        <v>969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06"/>
    <col collapsed="false" customWidth="true" hidden="false" outlineLevel="0" max="4" min="4" style="0" width="18"/>
  </cols>
  <sheetData>
    <row r="1" customFormat="false" ht="25.5" hidden="false" customHeight="true" outlineLevel="0" collapsed="false">
      <c r="A1" s="22" t="s">
        <v>970</v>
      </c>
      <c r="B1" s="22"/>
      <c r="C1" s="22"/>
      <c r="D1" s="22"/>
    </row>
    <row r="2" customFormat="false" ht="30" hidden="false" customHeight="true" outlineLevel="0" collapsed="false">
      <c r="A2" s="6" t="s">
        <v>971</v>
      </c>
      <c r="B2" s="6" t="s">
        <v>972</v>
      </c>
      <c r="C2" s="6" t="s">
        <v>973</v>
      </c>
      <c r="D2" s="6" t="s">
        <v>974</v>
      </c>
    </row>
    <row r="3" customFormat="false" ht="48" hidden="false" customHeight="true" outlineLevel="0" collapsed="false">
      <c r="A3" s="19" t="s">
        <v>975</v>
      </c>
      <c r="B3" s="23" t="s">
        <v>976</v>
      </c>
      <c r="C3" s="4" t="s">
        <v>977</v>
      </c>
      <c r="D3" s="24" t="s">
        <v>978</v>
      </c>
    </row>
    <row r="4" customFormat="false" ht="48" hidden="false" customHeight="true" outlineLevel="0" collapsed="false">
      <c r="A4" s="19" t="s">
        <v>979</v>
      </c>
      <c r="B4" s="23" t="s">
        <v>976</v>
      </c>
      <c r="C4" s="4" t="s">
        <v>980</v>
      </c>
      <c r="D4" s="24" t="s">
        <v>236</v>
      </c>
    </row>
    <row r="5" customFormat="false" ht="48" hidden="false" customHeight="true" outlineLevel="0" collapsed="false">
      <c r="A5" s="19" t="s">
        <v>981</v>
      </c>
      <c r="B5" s="23" t="s">
        <v>976</v>
      </c>
      <c r="C5" s="4" t="s">
        <v>982</v>
      </c>
      <c r="D5" s="24" t="s">
        <v>102</v>
      </c>
    </row>
    <row r="6" customFormat="false" ht="48" hidden="false" customHeight="true" outlineLevel="0" collapsed="false">
      <c r="A6" s="19" t="s">
        <v>983</v>
      </c>
      <c r="B6" s="23" t="s">
        <v>976</v>
      </c>
      <c r="C6" s="4" t="s">
        <v>984</v>
      </c>
      <c r="D6" s="24" t="s">
        <v>102</v>
      </c>
    </row>
    <row r="7" customFormat="false" ht="48" hidden="false" customHeight="true" outlineLevel="0" collapsed="false">
      <c r="A7" s="19" t="s">
        <v>985</v>
      </c>
      <c r="B7" s="23" t="s">
        <v>976</v>
      </c>
      <c r="C7" s="4" t="s">
        <v>986</v>
      </c>
      <c r="D7" s="24" t="s">
        <v>236</v>
      </c>
    </row>
    <row r="8" customFormat="false" ht="48" hidden="false" customHeight="true" outlineLevel="0" collapsed="false">
      <c r="A8" s="19" t="s">
        <v>987</v>
      </c>
      <c r="B8" s="23" t="s">
        <v>988</v>
      </c>
      <c r="C8" s="4" t="s">
        <v>989</v>
      </c>
      <c r="D8" s="24" t="s">
        <v>990</v>
      </c>
    </row>
    <row r="9" customFormat="false" ht="48" hidden="false" customHeight="true" outlineLevel="0" collapsed="false">
      <c r="A9" s="19" t="s">
        <v>991</v>
      </c>
      <c r="B9" s="23" t="s">
        <v>976</v>
      </c>
      <c r="C9" s="4" t="s">
        <v>992</v>
      </c>
      <c r="D9" s="24" t="s">
        <v>236</v>
      </c>
    </row>
    <row r="10" customFormat="false" ht="48" hidden="false" customHeight="true" outlineLevel="0" collapsed="false">
      <c r="A10" s="19" t="s">
        <v>993</v>
      </c>
      <c r="B10" s="25" t="s">
        <v>994</v>
      </c>
      <c r="C10" s="4" t="s">
        <v>995</v>
      </c>
      <c r="D10" s="24" t="s">
        <v>996</v>
      </c>
    </row>
    <row r="11" customFormat="false" ht="48" hidden="false" customHeight="true" outlineLevel="0" collapsed="false">
      <c r="A11" s="19" t="s">
        <v>997</v>
      </c>
      <c r="B11" s="25" t="s">
        <v>998</v>
      </c>
      <c r="C11" s="4" t="s">
        <v>999</v>
      </c>
      <c r="D11" s="24" t="s">
        <v>1000</v>
      </c>
    </row>
    <row r="12" customFormat="false" ht="48" hidden="false" customHeight="true" outlineLevel="0" collapsed="false">
      <c r="A12" s="19" t="s">
        <v>1001</v>
      </c>
      <c r="B12" s="25" t="s">
        <v>1002</v>
      </c>
      <c r="C12" s="4" t="s">
        <v>1003</v>
      </c>
      <c r="D12" s="24" t="s">
        <v>1000</v>
      </c>
    </row>
    <row r="13" customFormat="false" ht="48" hidden="false" customHeight="true" outlineLevel="0" collapsed="false">
      <c r="A13" s="19" t="s">
        <v>1004</v>
      </c>
      <c r="B13" s="25" t="s">
        <v>30</v>
      </c>
      <c r="C13" s="4" t="s">
        <v>1005</v>
      </c>
      <c r="D13" s="24" t="s">
        <v>236</v>
      </c>
    </row>
    <row r="14" customFormat="false" ht="48" hidden="false" customHeight="true" outlineLevel="0" collapsed="false">
      <c r="A14" s="19" t="s">
        <v>1006</v>
      </c>
      <c r="B14" s="25" t="s">
        <v>30</v>
      </c>
      <c r="C14" s="4" t="s">
        <v>1007</v>
      </c>
      <c r="D14" s="24" t="s">
        <v>236</v>
      </c>
    </row>
    <row r="15" customFormat="false" ht="48" hidden="false" customHeight="true" outlineLevel="0" collapsed="false">
      <c r="A15" s="19" t="s">
        <v>1008</v>
      </c>
      <c r="B15" s="25" t="s">
        <v>30</v>
      </c>
      <c r="C15" s="4" t="s">
        <v>1009</v>
      </c>
      <c r="D15" s="24" t="s">
        <v>102</v>
      </c>
    </row>
    <row r="16" customFormat="false" ht="48" hidden="false" customHeight="true" outlineLevel="0" collapsed="false">
      <c r="A16" s="19" t="s">
        <v>1010</v>
      </c>
      <c r="B16" s="25" t="s">
        <v>30</v>
      </c>
      <c r="C16" s="4" t="s">
        <v>1011</v>
      </c>
      <c r="D16" s="24" t="s">
        <v>1012</v>
      </c>
    </row>
    <row r="17" customFormat="false" ht="48" hidden="false" customHeight="true" outlineLevel="0" collapsed="false">
      <c r="A17" s="19" t="s">
        <v>1013</v>
      </c>
      <c r="B17" s="25" t="s">
        <v>1002</v>
      </c>
      <c r="C17" s="4" t="s">
        <v>1014</v>
      </c>
      <c r="D17" s="24" t="s">
        <v>236</v>
      </c>
    </row>
    <row r="19" customFormat="false" ht="43.5" hidden="false" customHeight="true" outlineLevel="0" collapsed="false">
      <c r="A19" s="17" t="s">
        <v>1015</v>
      </c>
      <c r="B19" s="20" t="s">
        <v>1016</v>
      </c>
      <c r="C19" s="20"/>
      <c r="D19" s="20"/>
    </row>
  </sheetData>
  <mergeCells count="2">
    <mergeCell ref="A1:D1"/>
    <mergeCell ref="B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9" min="3" style="0" width="13"/>
  </cols>
  <sheetData>
    <row r="1" customFormat="false" ht="25.5" hidden="false" customHeight="true" outlineLevel="0" collapsed="false">
      <c r="A1" s="5" t="s">
        <v>1017</v>
      </c>
      <c r="B1" s="5"/>
      <c r="C1" s="5"/>
      <c r="D1" s="5"/>
      <c r="E1" s="5"/>
      <c r="F1" s="5"/>
      <c r="G1" s="5"/>
      <c r="H1" s="5"/>
      <c r="I1" s="5"/>
    </row>
    <row r="3" customFormat="false" ht="15" hidden="false" customHeight="false" outlineLevel="0" collapsed="false">
      <c r="B3" s="2" t="s">
        <v>1018</v>
      </c>
    </row>
    <row r="4" customFormat="false" ht="30" hidden="false" customHeight="true" outlineLevel="0" collapsed="false">
      <c r="B4" s="26"/>
      <c r="C4" s="6" t="s">
        <v>22</v>
      </c>
      <c r="D4" s="6" t="s">
        <v>24</v>
      </c>
      <c r="E4" s="6" t="s">
        <v>26</v>
      </c>
      <c r="F4" s="6" t="s">
        <v>28</v>
      </c>
      <c r="G4" s="6" t="s">
        <v>30</v>
      </c>
      <c r="H4" s="6" t="s">
        <v>32</v>
      </c>
      <c r="I4" s="6" t="s">
        <v>1019</v>
      </c>
    </row>
    <row r="5" customFormat="false" ht="15" hidden="false" customHeight="false" outlineLevel="0" collapsed="false">
      <c r="B5" s="3" t="s">
        <v>76</v>
      </c>
      <c r="C5" s="15" t="n">
        <f aca="false">COUNTIFS('1 · Use cases'!$B$3:$B$114,$B5,'1 · Use cases'!$J$3:$J$114,C$4)</f>
        <v>8</v>
      </c>
      <c r="D5" s="15" t="n">
        <f aca="false">COUNTIFS('1 · Use cases'!$B$3:$B$114,$B5,'1 · Use cases'!$J$3:$J$114,D$4)</f>
        <v>11</v>
      </c>
      <c r="E5" s="15" t="n">
        <f aca="false">COUNTIFS('1 · Use cases'!$B$3:$B$114,$B5,'1 · Use cases'!$J$3:$J$114,E$4)</f>
        <v>11</v>
      </c>
      <c r="F5" s="15" t="n">
        <f aca="false">COUNTIFS('1 · Use cases'!$B$3:$B$114,$B5,'1 · Use cases'!$J$3:$J$114,F$4)</f>
        <v>4</v>
      </c>
      <c r="G5" s="15" t="n">
        <f aca="false">COUNTIFS('1 · Use cases'!$B$3:$B$114,$B5,'1 · Use cases'!$J$3:$J$114,G$4)</f>
        <v>0</v>
      </c>
      <c r="H5" s="15" t="n">
        <f aca="false">COUNTIFS('1 · Use cases'!$B$3:$B$114,$B5,'1 · Use cases'!$J$3:$J$114,H$4)</f>
        <v>0</v>
      </c>
      <c r="I5" s="9" t="n">
        <f aca="false">SUM(C5:H5)</f>
        <v>34</v>
      </c>
    </row>
    <row r="6" customFormat="false" ht="15" hidden="false" customHeight="false" outlineLevel="0" collapsed="false">
      <c r="B6" s="3" t="s">
        <v>265</v>
      </c>
      <c r="C6" s="15" t="n">
        <f aca="false">COUNTIFS('1 · Use cases'!$B$3:$B$114,$B6,'1 · Use cases'!$J$3:$J$114,C$4)</f>
        <v>18</v>
      </c>
      <c r="D6" s="15" t="n">
        <f aca="false">COUNTIFS('1 · Use cases'!$B$3:$B$114,$B6,'1 · Use cases'!$J$3:$J$114,D$4)</f>
        <v>7</v>
      </c>
      <c r="E6" s="15" t="n">
        <f aca="false">COUNTIFS('1 · Use cases'!$B$3:$B$114,$B6,'1 · Use cases'!$J$3:$J$114,E$4)</f>
        <v>5</v>
      </c>
      <c r="F6" s="15" t="n">
        <f aca="false">COUNTIFS('1 · Use cases'!$B$3:$B$114,$B6,'1 · Use cases'!$J$3:$J$114,F$4)</f>
        <v>0</v>
      </c>
      <c r="G6" s="15" t="n">
        <f aca="false">COUNTIFS('1 · Use cases'!$B$3:$B$114,$B6,'1 · Use cases'!$J$3:$J$114,G$4)</f>
        <v>2</v>
      </c>
      <c r="H6" s="15" t="n">
        <f aca="false">COUNTIFS('1 · Use cases'!$B$3:$B$114,$B6,'1 · Use cases'!$J$3:$J$114,H$4)</f>
        <v>0</v>
      </c>
      <c r="I6" s="9" t="n">
        <f aca="false">SUM(C6:H6)</f>
        <v>32</v>
      </c>
    </row>
    <row r="7" customFormat="false" ht="15" hidden="false" customHeight="false" outlineLevel="0" collapsed="false">
      <c r="B7" s="3" t="s">
        <v>409</v>
      </c>
      <c r="C7" s="15" t="n">
        <f aca="false">COUNTIFS('1 · Use cases'!$B$3:$B$114,$B7,'1 · Use cases'!$J$3:$J$114,C$4)</f>
        <v>16</v>
      </c>
      <c r="D7" s="15" t="n">
        <f aca="false">COUNTIFS('1 · Use cases'!$B$3:$B$114,$B7,'1 · Use cases'!$J$3:$J$114,D$4)</f>
        <v>7</v>
      </c>
      <c r="E7" s="15" t="n">
        <f aca="false">COUNTIFS('1 · Use cases'!$B$3:$B$114,$B7,'1 · Use cases'!$J$3:$J$114,E$4)</f>
        <v>5</v>
      </c>
      <c r="F7" s="15" t="n">
        <f aca="false">COUNTIFS('1 · Use cases'!$B$3:$B$114,$B7,'1 · Use cases'!$J$3:$J$114,F$4)</f>
        <v>6</v>
      </c>
      <c r="G7" s="15" t="n">
        <f aca="false">COUNTIFS('1 · Use cases'!$B$3:$B$114,$B7,'1 · Use cases'!$J$3:$J$114,G$4)</f>
        <v>7</v>
      </c>
      <c r="H7" s="15" t="n">
        <f aca="false">COUNTIFS('1 · Use cases'!$B$3:$B$114,$B7,'1 · Use cases'!$J$3:$J$114,H$4)</f>
        <v>0</v>
      </c>
      <c r="I7" s="9" t="n">
        <f aca="false">SUM(C7:H7)</f>
        <v>41</v>
      </c>
    </row>
    <row r="8" customFormat="false" ht="15" hidden="false" customHeight="false" outlineLevel="0" collapsed="false">
      <c r="B8" s="3" t="s">
        <v>584</v>
      </c>
      <c r="C8" s="15" t="n">
        <f aca="false">COUNTIFS('1 · Use cases'!$B$3:$B$114,$B8,'1 · Use cases'!$J$3:$J$114,C$4)</f>
        <v>0</v>
      </c>
      <c r="D8" s="15" t="n">
        <f aca="false">COUNTIFS('1 · Use cases'!$B$3:$B$114,$B8,'1 · Use cases'!$J$3:$J$114,D$4)</f>
        <v>0</v>
      </c>
      <c r="E8" s="15" t="n">
        <f aca="false">COUNTIFS('1 · Use cases'!$B$3:$B$114,$B8,'1 · Use cases'!$J$3:$J$114,E$4)</f>
        <v>0</v>
      </c>
      <c r="F8" s="15" t="n">
        <f aca="false">COUNTIFS('1 · Use cases'!$B$3:$B$114,$B8,'1 · Use cases'!$J$3:$J$114,F$4)</f>
        <v>0</v>
      </c>
      <c r="G8" s="15" t="n">
        <f aca="false">COUNTIFS('1 · Use cases'!$B$3:$B$114,$B8,'1 · Use cases'!$J$3:$J$114,G$4)</f>
        <v>0</v>
      </c>
      <c r="H8" s="15" t="n">
        <f aca="false">COUNTIFS('1 · Use cases'!$B$3:$B$114,$B8,'1 · Use cases'!$J$3:$J$114,H$4)</f>
        <v>4</v>
      </c>
      <c r="I8" s="9" t="n">
        <f aca="false">SUM(C8:H8)</f>
        <v>4</v>
      </c>
    </row>
    <row r="9" customFormat="false" ht="15" hidden="false" customHeight="false" outlineLevel="0" collapsed="false">
      <c r="B9" s="3" t="s">
        <v>604</v>
      </c>
      <c r="C9" s="15" t="n">
        <f aca="false">COUNTIFS('1 · Use cases'!$B$3:$B$114,$B9,'1 · Use cases'!$J$3:$J$114,C$4)</f>
        <v>0</v>
      </c>
      <c r="D9" s="15" t="n">
        <f aca="false">COUNTIFS('1 · Use cases'!$B$3:$B$114,$B9,'1 · Use cases'!$J$3:$J$114,D$4)</f>
        <v>0</v>
      </c>
      <c r="E9" s="15" t="n">
        <f aca="false">COUNTIFS('1 · Use cases'!$B$3:$B$114,$B9,'1 · Use cases'!$J$3:$J$114,E$4)</f>
        <v>0</v>
      </c>
      <c r="F9" s="15" t="n">
        <f aca="false">COUNTIFS('1 · Use cases'!$B$3:$B$114,$B9,'1 · Use cases'!$J$3:$J$114,F$4)</f>
        <v>0</v>
      </c>
      <c r="G9" s="15" t="n">
        <f aca="false">COUNTIFS('1 · Use cases'!$B$3:$B$114,$B9,'1 · Use cases'!$J$3:$J$114,G$4)</f>
        <v>0</v>
      </c>
      <c r="H9" s="15" t="n">
        <f aca="false">COUNTIFS('1 · Use cases'!$B$3:$B$114,$B9,'1 · Use cases'!$J$3:$J$114,H$4)</f>
        <v>1</v>
      </c>
      <c r="I9" s="9" t="n">
        <f aca="false">SUM(C9:H9)</f>
        <v>1</v>
      </c>
    </row>
    <row r="10" customFormat="false" ht="15" hidden="false" customHeight="false" outlineLevel="0" collapsed="false">
      <c r="B10" s="9" t="s">
        <v>1019</v>
      </c>
      <c r="C10" s="9" t="n">
        <f aca="false">SUM(C5:C9)</f>
        <v>42</v>
      </c>
      <c r="D10" s="9" t="n">
        <f aca="false">SUM(D5:D9)</f>
        <v>25</v>
      </c>
      <c r="E10" s="9" t="n">
        <f aca="false">SUM(E5:E9)</f>
        <v>21</v>
      </c>
      <c r="F10" s="9" t="n">
        <f aca="false">SUM(F5:F9)</f>
        <v>10</v>
      </c>
      <c r="G10" s="9" t="n">
        <f aca="false">SUM(G5:G9)</f>
        <v>9</v>
      </c>
      <c r="H10" s="9" t="n">
        <f aca="false">SUM(H5:H9)</f>
        <v>5</v>
      </c>
      <c r="I10" s="9" t="n">
        <f aca="false">SUM(I5:I9)</f>
        <v>112</v>
      </c>
    </row>
    <row r="11" customFormat="false" ht="19.4" hidden="false" customHeight="false" outlineLevel="0" collapsed="false">
      <c r="B11" s="18" t="s">
        <v>1020</v>
      </c>
    </row>
    <row r="13" customFormat="false" ht="15" hidden="false" customHeight="false" outlineLevel="0" collapsed="false">
      <c r="B13" s="2" t="s">
        <v>1021</v>
      </c>
    </row>
    <row r="14" customFormat="false" ht="30" hidden="false" customHeight="true" outlineLevel="0" collapsed="false">
      <c r="B14" s="26"/>
      <c r="C14" s="6" t="s">
        <v>84</v>
      </c>
      <c r="D14" s="6" t="s">
        <v>102</v>
      </c>
      <c r="E14" s="6" t="s">
        <v>109</v>
      </c>
      <c r="F14" s="6" t="s">
        <v>116</v>
      </c>
      <c r="G14" s="6" t="s">
        <v>1019</v>
      </c>
    </row>
    <row r="15" customFormat="false" ht="15" hidden="false" customHeight="false" outlineLevel="0" collapsed="false">
      <c r="B15" s="3" t="s">
        <v>76</v>
      </c>
      <c r="C15" s="15" t="n">
        <f aca="false">COUNTIFS('1 · Use cases'!$B$3:$B$114,$B15,'1 · Use cases'!$K$3:$K$114,C$14)</f>
        <v>27</v>
      </c>
      <c r="D15" s="15" t="n">
        <f aca="false">COUNTIFS('1 · Use cases'!$B$3:$B$114,$B15,'1 · Use cases'!$K$3:$K$114,D$14)</f>
        <v>3</v>
      </c>
      <c r="E15" s="15" t="n">
        <f aca="false">COUNTIFS('1 · Use cases'!$B$3:$B$114,$B15,'1 · Use cases'!$K$3:$K$114,E$14)</f>
        <v>1</v>
      </c>
      <c r="F15" s="15" t="n">
        <f aca="false">COUNTIFS('1 · Use cases'!$B$3:$B$114,$B15,'1 · Use cases'!$K$3:$K$114,F$14)</f>
        <v>3</v>
      </c>
      <c r="G15" s="9" t="n">
        <f aca="false">SUM(C15:F15)</f>
        <v>34</v>
      </c>
    </row>
    <row r="16" customFormat="false" ht="15" hidden="false" customHeight="false" outlineLevel="0" collapsed="false">
      <c r="B16" s="3" t="s">
        <v>265</v>
      </c>
      <c r="C16" s="15" t="n">
        <f aca="false">COUNTIFS('1 · Use cases'!$B$3:$B$114,$B16,'1 · Use cases'!$K$3:$K$114,C$14)</f>
        <v>28</v>
      </c>
      <c r="D16" s="15" t="n">
        <f aca="false">COUNTIFS('1 · Use cases'!$B$3:$B$114,$B16,'1 · Use cases'!$K$3:$K$114,D$14)</f>
        <v>2</v>
      </c>
      <c r="E16" s="15" t="n">
        <f aca="false">COUNTIFS('1 · Use cases'!$B$3:$B$114,$B16,'1 · Use cases'!$K$3:$K$114,E$14)</f>
        <v>0</v>
      </c>
      <c r="F16" s="15" t="n">
        <f aca="false">COUNTIFS('1 · Use cases'!$B$3:$B$114,$B16,'1 · Use cases'!$K$3:$K$114,F$14)</f>
        <v>2</v>
      </c>
      <c r="G16" s="9" t="n">
        <f aca="false">SUM(C16:F16)</f>
        <v>32</v>
      </c>
    </row>
    <row r="17" customFormat="false" ht="15" hidden="false" customHeight="false" outlineLevel="0" collapsed="false">
      <c r="B17" s="3" t="s">
        <v>409</v>
      </c>
      <c r="C17" s="15" t="n">
        <f aca="false">COUNTIFS('1 · Use cases'!$B$3:$B$114,$B17,'1 · Use cases'!$K$3:$K$114,C$14)</f>
        <v>28</v>
      </c>
      <c r="D17" s="15" t="n">
        <f aca="false">COUNTIFS('1 · Use cases'!$B$3:$B$114,$B17,'1 · Use cases'!$K$3:$K$114,D$14)</f>
        <v>3</v>
      </c>
      <c r="E17" s="15" t="n">
        <f aca="false">COUNTIFS('1 · Use cases'!$B$3:$B$114,$B17,'1 · Use cases'!$K$3:$K$114,E$14)</f>
        <v>0</v>
      </c>
      <c r="F17" s="15" t="n">
        <f aca="false">COUNTIFS('1 · Use cases'!$B$3:$B$114,$B17,'1 · Use cases'!$K$3:$K$114,F$14)</f>
        <v>10</v>
      </c>
      <c r="G17" s="9" t="n">
        <f aca="false">SUM(C17:F17)</f>
        <v>41</v>
      </c>
    </row>
    <row r="18" customFormat="false" ht="15" hidden="false" customHeight="false" outlineLevel="0" collapsed="false">
      <c r="B18" s="3" t="s">
        <v>584</v>
      </c>
      <c r="C18" s="15" t="n">
        <f aca="false">COUNTIFS('1 · Use cases'!$B$3:$B$114,$B18,'1 · Use cases'!$K$3:$K$114,C$14)</f>
        <v>0</v>
      </c>
      <c r="D18" s="15" t="n">
        <f aca="false">COUNTIFS('1 · Use cases'!$B$3:$B$114,$B18,'1 · Use cases'!$K$3:$K$114,D$14)</f>
        <v>0</v>
      </c>
      <c r="E18" s="15" t="n">
        <f aca="false">COUNTIFS('1 · Use cases'!$B$3:$B$114,$B18,'1 · Use cases'!$K$3:$K$114,E$14)</f>
        <v>0</v>
      </c>
      <c r="F18" s="15" t="n">
        <f aca="false">COUNTIFS('1 · Use cases'!$B$3:$B$114,$B18,'1 · Use cases'!$K$3:$K$114,F$14)</f>
        <v>4</v>
      </c>
      <c r="G18" s="9" t="n">
        <f aca="false">SUM(C18:F18)</f>
        <v>4</v>
      </c>
    </row>
    <row r="19" customFormat="false" ht="15" hidden="false" customHeight="false" outlineLevel="0" collapsed="false">
      <c r="B19" s="3" t="s">
        <v>604</v>
      </c>
      <c r="C19" s="15" t="n">
        <f aca="false">COUNTIFS('1 · Use cases'!$B$3:$B$114,$B19,'1 · Use cases'!$K$3:$K$114,C$14)</f>
        <v>0</v>
      </c>
      <c r="D19" s="15" t="n">
        <f aca="false">COUNTIFS('1 · Use cases'!$B$3:$B$114,$B19,'1 · Use cases'!$K$3:$K$114,D$14)</f>
        <v>0</v>
      </c>
      <c r="E19" s="15" t="n">
        <f aca="false">COUNTIFS('1 · Use cases'!$B$3:$B$114,$B19,'1 · Use cases'!$K$3:$K$114,E$14)</f>
        <v>0</v>
      </c>
      <c r="F19" s="15" t="n">
        <f aca="false">COUNTIFS('1 · Use cases'!$B$3:$B$114,$B19,'1 · Use cases'!$K$3:$K$114,F$14)</f>
        <v>1</v>
      </c>
      <c r="G19" s="9" t="n">
        <f aca="false">SUM(C19:F19)</f>
        <v>1</v>
      </c>
    </row>
    <row r="20" customFormat="false" ht="15" hidden="false" customHeight="false" outlineLevel="0" collapsed="false">
      <c r="B20" s="9" t="s">
        <v>1019</v>
      </c>
      <c r="C20" s="9" t="n">
        <f aca="false">SUM(C15:C19)</f>
        <v>83</v>
      </c>
      <c r="D20" s="9" t="n">
        <f aca="false">SUM(D15:D19)</f>
        <v>8</v>
      </c>
      <c r="E20" s="9" t="n">
        <f aca="false">SUM(E15:E19)</f>
        <v>1</v>
      </c>
      <c r="F20" s="9" t="n">
        <f aca="false">SUM(F15:F19)</f>
        <v>20</v>
      </c>
      <c r="G20" s="9" t="n">
        <f aca="false">SUM(G15:G19)</f>
        <v>112</v>
      </c>
    </row>
    <row r="21" customFormat="false" ht="28.35" hidden="false" customHeight="false" outlineLevel="0" collapsed="false">
      <c r="B21" s="18" t="s">
        <v>1022</v>
      </c>
    </row>
    <row r="23" customFormat="false" ht="15" hidden="false" customHeight="false" outlineLevel="0" collapsed="false">
      <c r="B23" s="2" t="s">
        <v>1023</v>
      </c>
    </row>
    <row r="24" customFormat="false" ht="30" hidden="false" customHeight="true" outlineLevel="0" collapsed="false">
      <c r="B24" s="26"/>
      <c r="C24" s="6" t="s">
        <v>22</v>
      </c>
      <c r="D24" s="6" t="s">
        <v>24</v>
      </c>
      <c r="E24" s="6" t="s">
        <v>26</v>
      </c>
      <c r="F24" s="6" t="s">
        <v>28</v>
      </c>
      <c r="G24" s="6" t="s">
        <v>30</v>
      </c>
      <c r="H24" s="6" t="s">
        <v>32</v>
      </c>
      <c r="I24" s="6" t="s">
        <v>1019</v>
      </c>
    </row>
    <row r="25" customFormat="false" ht="15" hidden="false" customHeight="false" outlineLevel="0" collapsed="false">
      <c r="B25" s="3" t="s">
        <v>243</v>
      </c>
      <c r="C25" s="15" t="n">
        <f aca="false">COUNTIFS('1 · Use cases'!$C$3:$C$114,$B25,'1 · Use cases'!$J$3:$J$114,C$24)</f>
        <v>7</v>
      </c>
      <c r="D25" s="15" t="n">
        <f aca="false">COUNTIFS('1 · Use cases'!$C$3:$C$114,$B25,'1 · Use cases'!$J$3:$J$114,D$24)</f>
        <v>3</v>
      </c>
      <c r="E25" s="15" t="n">
        <f aca="false">COUNTIFS('1 · Use cases'!$C$3:$C$114,$B25,'1 · Use cases'!$J$3:$J$114,E$24)</f>
        <v>4</v>
      </c>
      <c r="F25" s="15" t="n">
        <f aca="false">COUNTIFS('1 · Use cases'!$C$3:$C$114,$B25,'1 · Use cases'!$J$3:$J$114,F$24)</f>
        <v>2</v>
      </c>
      <c r="G25" s="15" t="n">
        <f aca="false">COUNTIFS('1 · Use cases'!$C$3:$C$114,$B25,'1 · Use cases'!$J$3:$J$114,G$24)</f>
        <v>2</v>
      </c>
      <c r="H25" s="15" t="n">
        <f aca="false">COUNTIFS('1 · Use cases'!$C$3:$C$114,$B25,'1 · Use cases'!$J$3:$J$114,H$24)</f>
        <v>0</v>
      </c>
      <c r="I25" s="9" t="n">
        <f aca="false">SUM(C25:H25)</f>
        <v>18</v>
      </c>
    </row>
    <row r="26" customFormat="false" ht="15" hidden="false" customHeight="false" outlineLevel="0" collapsed="false">
      <c r="B26" s="3" t="s">
        <v>605</v>
      </c>
      <c r="C26" s="15" t="n">
        <f aca="false">COUNTIFS('1 · Use cases'!$C$3:$C$114,$B26,'1 · Use cases'!$J$3:$J$114,C$24)</f>
        <v>0</v>
      </c>
      <c r="D26" s="15" t="n">
        <f aca="false">COUNTIFS('1 · Use cases'!$C$3:$C$114,$B26,'1 · Use cases'!$J$3:$J$114,D$24)</f>
        <v>0</v>
      </c>
      <c r="E26" s="15" t="n">
        <f aca="false">COUNTIFS('1 · Use cases'!$C$3:$C$114,$B26,'1 · Use cases'!$J$3:$J$114,E$24)</f>
        <v>0</v>
      </c>
      <c r="F26" s="15" t="n">
        <f aca="false">COUNTIFS('1 · Use cases'!$C$3:$C$114,$B26,'1 · Use cases'!$J$3:$J$114,F$24)</f>
        <v>0</v>
      </c>
      <c r="G26" s="15" t="n">
        <f aca="false">COUNTIFS('1 · Use cases'!$C$3:$C$114,$B26,'1 · Use cases'!$J$3:$J$114,G$24)</f>
        <v>0</v>
      </c>
      <c r="H26" s="15" t="n">
        <f aca="false">COUNTIFS('1 · Use cases'!$C$3:$C$114,$B26,'1 · Use cases'!$J$3:$J$114,H$24)</f>
        <v>1</v>
      </c>
      <c r="I26" s="9" t="n">
        <f aca="false">SUM(C26:H26)</f>
        <v>1</v>
      </c>
    </row>
    <row r="27" customFormat="false" ht="15" hidden="false" customHeight="false" outlineLevel="0" collapsed="false">
      <c r="B27" s="3" t="s">
        <v>157</v>
      </c>
      <c r="C27" s="15" t="n">
        <f aca="false">COUNTIFS('1 · Use cases'!$C$3:$C$114,$B27,'1 · Use cases'!$J$3:$J$114,C$24)</f>
        <v>6</v>
      </c>
      <c r="D27" s="15" t="n">
        <f aca="false">COUNTIFS('1 · Use cases'!$C$3:$C$114,$B27,'1 · Use cases'!$J$3:$J$114,D$24)</f>
        <v>1</v>
      </c>
      <c r="E27" s="15" t="n">
        <f aca="false">COUNTIFS('1 · Use cases'!$C$3:$C$114,$B27,'1 · Use cases'!$J$3:$J$114,E$24)</f>
        <v>4</v>
      </c>
      <c r="F27" s="15" t="n">
        <f aca="false">COUNTIFS('1 · Use cases'!$C$3:$C$114,$B27,'1 · Use cases'!$J$3:$J$114,F$24)</f>
        <v>0</v>
      </c>
      <c r="G27" s="15" t="n">
        <f aca="false">COUNTIFS('1 · Use cases'!$C$3:$C$114,$B27,'1 · Use cases'!$J$3:$J$114,G$24)</f>
        <v>0</v>
      </c>
      <c r="H27" s="15" t="n">
        <f aca="false">COUNTIFS('1 · Use cases'!$C$3:$C$114,$B27,'1 · Use cases'!$J$3:$J$114,H$24)</f>
        <v>0</v>
      </c>
      <c r="I27" s="9" t="n">
        <f aca="false">SUM(C27:H27)</f>
        <v>11</v>
      </c>
    </row>
    <row r="28" customFormat="false" ht="15" hidden="false" customHeight="false" outlineLevel="0" collapsed="false">
      <c r="B28" s="3" t="s">
        <v>183</v>
      </c>
      <c r="C28" s="15" t="n">
        <f aca="false">COUNTIFS('1 · Use cases'!$C$3:$C$114,$B28,'1 · Use cases'!$J$3:$J$114,C$24)</f>
        <v>9</v>
      </c>
      <c r="D28" s="15" t="n">
        <f aca="false">COUNTIFS('1 · Use cases'!$C$3:$C$114,$B28,'1 · Use cases'!$J$3:$J$114,D$24)</f>
        <v>4</v>
      </c>
      <c r="E28" s="15" t="n">
        <f aca="false">COUNTIFS('1 · Use cases'!$C$3:$C$114,$B28,'1 · Use cases'!$J$3:$J$114,E$24)</f>
        <v>0</v>
      </c>
      <c r="F28" s="15" t="n">
        <f aca="false">COUNTIFS('1 · Use cases'!$C$3:$C$114,$B28,'1 · Use cases'!$J$3:$J$114,F$24)</f>
        <v>0</v>
      </c>
      <c r="G28" s="15" t="n">
        <f aca="false">COUNTIFS('1 · Use cases'!$C$3:$C$114,$B28,'1 · Use cases'!$J$3:$J$114,G$24)</f>
        <v>0</v>
      </c>
      <c r="H28" s="15" t="n">
        <f aca="false">COUNTIFS('1 · Use cases'!$C$3:$C$114,$B28,'1 · Use cases'!$J$3:$J$114,H$24)</f>
        <v>0</v>
      </c>
      <c r="I28" s="9" t="n">
        <f aca="false">SUM(C28:H28)</f>
        <v>13</v>
      </c>
    </row>
    <row r="29" customFormat="false" ht="15" hidden="false" customHeight="false" outlineLevel="0" collapsed="false">
      <c r="B29" s="3" t="s">
        <v>211</v>
      </c>
      <c r="C29" s="15" t="n">
        <f aca="false">COUNTIFS('1 · Use cases'!$C$3:$C$114,$B29,'1 · Use cases'!$J$3:$J$114,C$24)</f>
        <v>3</v>
      </c>
      <c r="D29" s="15" t="n">
        <f aca="false">COUNTIFS('1 · Use cases'!$C$3:$C$114,$B29,'1 · Use cases'!$J$3:$J$114,D$24)</f>
        <v>0</v>
      </c>
      <c r="E29" s="15" t="n">
        <f aca="false">COUNTIFS('1 · Use cases'!$C$3:$C$114,$B29,'1 · Use cases'!$J$3:$J$114,E$24)</f>
        <v>0</v>
      </c>
      <c r="F29" s="15" t="n">
        <f aca="false">COUNTIFS('1 · Use cases'!$C$3:$C$114,$B29,'1 · Use cases'!$J$3:$J$114,F$24)</f>
        <v>0</v>
      </c>
      <c r="G29" s="15" t="n">
        <f aca="false">COUNTIFS('1 · Use cases'!$C$3:$C$114,$B29,'1 · Use cases'!$J$3:$J$114,G$24)</f>
        <v>1</v>
      </c>
      <c r="H29" s="15" t="n">
        <f aca="false">COUNTIFS('1 · Use cases'!$C$3:$C$114,$B29,'1 · Use cases'!$J$3:$J$114,H$24)</f>
        <v>0</v>
      </c>
      <c r="I29" s="9" t="n">
        <f aca="false">SUM(C29:H29)</f>
        <v>4</v>
      </c>
    </row>
    <row r="30" customFormat="false" ht="15" hidden="false" customHeight="false" outlineLevel="0" collapsed="false">
      <c r="B30" s="3" t="s">
        <v>221</v>
      </c>
      <c r="C30" s="15" t="n">
        <f aca="false">COUNTIFS('1 · Use cases'!$C$3:$C$114,$B30,'1 · Use cases'!$J$3:$J$114,C$24)</f>
        <v>2</v>
      </c>
      <c r="D30" s="15" t="n">
        <f aca="false">COUNTIFS('1 · Use cases'!$C$3:$C$114,$B30,'1 · Use cases'!$J$3:$J$114,D$24)</f>
        <v>0</v>
      </c>
      <c r="E30" s="15" t="n">
        <f aca="false">COUNTIFS('1 · Use cases'!$C$3:$C$114,$B30,'1 · Use cases'!$J$3:$J$114,E$24)</f>
        <v>1</v>
      </c>
      <c r="F30" s="15" t="n">
        <f aca="false">COUNTIFS('1 · Use cases'!$C$3:$C$114,$B30,'1 · Use cases'!$J$3:$J$114,F$24)</f>
        <v>2</v>
      </c>
      <c r="G30" s="15" t="n">
        <f aca="false">COUNTIFS('1 · Use cases'!$C$3:$C$114,$B30,'1 · Use cases'!$J$3:$J$114,G$24)</f>
        <v>2</v>
      </c>
      <c r="H30" s="15" t="n">
        <f aca="false">COUNTIFS('1 · Use cases'!$C$3:$C$114,$B30,'1 · Use cases'!$J$3:$J$114,H$24)</f>
        <v>0</v>
      </c>
      <c r="I30" s="9" t="n">
        <f aca="false">SUM(C30:H30)</f>
        <v>7</v>
      </c>
    </row>
    <row r="31" customFormat="false" ht="15" hidden="false" customHeight="false" outlineLevel="0" collapsed="false">
      <c r="B31" s="3" t="s">
        <v>585</v>
      </c>
      <c r="C31" s="15" t="n">
        <f aca="false">COUNTIFS('1 · Use cases'!$C$3:$C$114,$B31,'1 · Use cases'!$J$3:$J$114,C$24)</f>
        <v>0</v>
      </c>
      <c r="D31" s="15" t="n">
        <f aca="false">COUNTIFS('1 · Use cases'!$C$3:$C$114,$B31,'1 · Use cases'!$J$3:$J$114,D$24)</f>
        <v>0</v>
      </c>
      <c r="E31" s="15" t="n">
        <f aca="false">COUNTIFS('1 · Use cases'!$C$3:$C$114,$B31,'1 · Use cases'!$J$3:$J$114,E$24)</f>
        <v>0</v>
      </c>
      <c r="F31" s="15" t="n">
        <f aca="false">COUNTIFS('1 · Use cases'!$C$3:$C$114,$B31,'1 · Use cases'!$J$3:$J$114,F$24)</f>
        <v>0</v>
      </c>
      <c r="G31" s="15" t="n">
        <f aca="false">COUNTIFS('1 · Use cases'!$C$3:$C$114,$B31,'1 · Use cases'!$J$3:$J$114,G$24)</f>
        <v>0</v>
      </c>
      <c r="H31" s="15" t="n">
        <f aca="false">COUNTIFS('1 · Use cases'!$C$3:$C$114,$B31,'1 · Use cases'!$J$3:$J$114,H$24)</f>
        <v>2</v>
      </c>
      <c r="I31" s="9" t="n">
        <f aca="false">SUM(C31:H31)</f>
        <v>2</v>
      </c>
    </row>
    <row r="32" customFormat="false" ht="15" hidden="false" customHeight="false" outlineLevel="0" collapsed="false">
      <c r="B32" s="3" t="s">
        <v>595</v>
      </c>
      <c r="C32" s="15" t="n">
        <f aca="false">COUNTIFS('1 · Use cases'!$C$3:$C$114,$B32,'1 · Use cases'!$J$3:$J$114,C$24)</f>
        <v>0</v>
      </c>
      <c r="D32" s="15" t="n">
        <f aca="false">COUNTIFS('1 · Use cases'!$C$3:$C$114,$B32,'1 · Use cases'!$J$3:$J$114,D$24)</f>
        <v>0</v>
      </c>
      <c r="E32" s="15" t="n">
        <f aca="false">COUNTIFS('1 · Use cases'!$C$3:$C$114,$B32,'1 · Use cases'!$J$3:$J$114,E$24)</f>
        <v>0</v>
      </c>
      <c r="F32" s="15" t="n">
        <f aca="false">COUNTIFS('1 · Use cases'!$C$3:$C$114,$B32,'1 · Use cases'!$J$3:$J$114,F$24)</f>
        <v>0</v>
      </c>
      <c r="G32" s="15" t="n">
        <f aca="false">COUNTIFS('1 · Use cases'!$C$3:$C$114,$B32,'1 · Use cases'!$J$3:$J$114,G$24)</f>
        <v>0</v>
      </c>
      <c r="H32" s="15" t="n">
        <f aca="false">COUNTIFS('1 · Use cases'!$C$3:$C$114,$B32,'1 · Use cases'!$J$3:$J$114,H$24)</f>
        <v>1</v>
      </c>
      <c r="I32" s="9" t="n">
        <f aca="false">SUM(C32:H32)</f>
        <v>1</v>
      </c>
    </row>
    <row r="33" customFormat="false" ht="15" hidden="false" customHeight="false" outlineLevel="0" collapsed="false">
      <c r="B33" s="3" t="s">
        <v>600</v>
      </c>
      <c r="C33" s="15" t="n">
        <f aca="false">COUNTIFS('1 · Use cases'!$C$3:$C$114,$B33,'1 · Use cases'!$J$3:$J$114,C$24)</f>
        <v>0</v>
      </c>
      <c r="D33" s="15" t="n">
        <f aca="false">COUNTIFS('1 · Use cases'!$C$3:$C$114,$B33,'1 · Use cases'!$J$3:$J$114,D$24)</f>
        <v>0</v>
      </c>
      <c r="E33" s="15" t="n">
        <f aca="false">COUNTIFS('1 · Use cases'!$C$3:$C$114,$B33,'1 · Use cases'!$J$3:$J$114,E$24)</f>
        <v>0</v>
      </c>
      <c r="F33" s="15" t="n">
        <f aca="false">COUNTIFS('1 · Use cases'!$C$3:$C$114,$B33,'1 · Use cases'!$J$3:$J$114,F$24)</f>
        <v>0</v>
      </c>
      <c r="G33" s="15" t="n">
        <f aca="false">COUNTIFS('1 · Use cases'!$C$3:$C$114,$B33,'1 · Use cases'!$J$3:$J$114,G$24)</f>
        <v>0</v>
      </c>
      <c r="H33" s="15" t="n">
        <f aca="false">COUNTIFS('1 · Use cases'!$C$3:$C$114,$B33,'1 · Use cases'!$J$3:$J$114,H$24)</f>
        <v>1</v>
      </c>
      <c r="I33" s="9" t="n">
        <f aca="false">SUM(C33:H33)</f>
        <v>1</v>
      </c>
    </row>
    <row r="34" customFormat="false" ht="15" hidden="false" customHeight="false" outlineLevel="0" collapsed="false">
      <c r="B34" s="3" t="s">
        <v>77</v>
      </c>
      <c r="C34" s="15" t="n">
        <f aca="false">COUNTIFS('1 · Use cases'!$C$3:$C$114,$B34,'1 · Use cases'!$J$3:$J$114,C$24)</f>
        <v>1</v>
      </c>
      <c r="D34" s="15" t="n">
        <f aca="false">COUNTIFS('1 · Use cases'!$C$3:$C$114,$B34,'1 · Use cases'!$J$3:$J$114,D$24)</f>
        <v>3</v>
      </c>
      <c r="E34" s="15" t="n">
        <f aca="false">COUNTIFS('1 · Use cases'!$C$3:$C$114,$B34,'1 · Use cases'!$J$3:$J$114,E$24)</f>
        <v>4</v>
      </c>
      <c r="F34" s="15" t="n">
        <f aca="false">COUNTIFS('1 · Use cases'!$C$3:$C$114,$B34,'1 · Use cases'!$J$3:$J$114,F$24)</f>
        <v>2</v>
      </c>
      <c r="G34" s="15" t="n">
        <f aca="false">COUNTIFS('1 · Use cases'!$C$3:$C$114,$B34,'1 · Use cases'!$J$3:$J$114,G$24)</f>
        <v>3</v>
      </c>
      <c r="H34" s="15" t="n">
        <f aca="false">COUNTIFS('1 · Use cases'!$C$3:$C$114,$B34,'1 · Use cases'!$J$3:$J$114,H$24)</f>
        <v>0</v>
      </c>
      <c r="I34" s="9" t="n">
        <f aca="false">SUM(C34:H34)</f>
        <v>13</v>
      </c>
    </row>
    <row r="35" customFormat="false" ht="15" hidden="false" customHeight="false" outlineLevel="0" collapsed="false">
      <c r="B35" s="3" t="s">
        <v>438</v>
      </c>
      <c r="C35" s="15" t="n">
        <f aca="false">COUNTIFS('1 · Use cases'!$C$3:$C$114,$B35,'1 · Use cases'!$J$3:$J$114,C$24)</f>
        <v>1</v>
      </c>
      <c r="D35" s="15" t="n">
        <f aca="false">COUNTIFS('1 · Use cases'!$C$3:$C$114,$B35,'1 · Use cases'!$J$3:$J$114,D$24)</f>
        <v>0</v>
      </c>
      <c r="E35" s="15" t="n">
        <f aca="false">COUNTIFS('1 · Use cases'!$C$3:$C$114,$B35,'1 · Use cases'!$J$3:$J$114,E$24)</f>
        <v>0</v>
      </c>
      <c r="F35" s="15" t="n">
        <f aca="false">COUNTIFS('1 · Use cases'!$C$3:$C$114,$B35,'1 · Use cases'!$J$3:$J$114,F$24)</f>
        <v>0</v>
      </c>
      <c r="G35" s="15" t="n">
        <f aca="false">COUNTIFS('1 · Use cases'!$C$3:$C$114,$B35,'1 · Use cases'!$J$3:$J$114,G$24)</f>
        <v>1</v>
      </c>
      <c r="H35" s="15" t="n">
        <f aca="false">COUNTIFS('1 · Use cases'!$C$3:$C$114,$B35,'1 · Use cases'!$J$3:$J$114,H$24)</f>
        <v>0</v>
      </c>
      <c r="I35" s="9" t="n">
        <f aca="false">SUM(C35:H35)</f>
        <v>2</v>
      </c>
    </row>
    <row r="36" customFormat="false" ht="15" hidden="false" customHeight="false" outlineLevel="0" collapsed="false">
      <c r="B36" s="3" t="s">
        <v>118</v>
      </c>
      <c r="C36" s="15" t="n">
        <f aca="false">COUNTIFS('1 · Use cases'!$C$3:$C$114,$B36,'1 · Use cases'!$J$3:$J$114,C$24)</f>
        <v>1</v>
      </c>
      <c r="D36" s="15" t="n">
        <f aca="false">COUNTIFS('1 · Use cases'!$C$3:$C$114,$B36,'1 · Use cases'!$J$3:$J$114,D$24)</f>
        <v>3</v>
      </c>
      <c r="E36" s="15" t="n">
        <f aca="false">COUNTIFS('1 · Use cases'!$C$3:$C$114,$B36,'1 · Use cases'!$J$3:$J$114,E$24)</f>
        <v>2</v>
      </c>
      <c r="F36" s="15" t="n">
        <f aca="false">COUNTIFS('1 · Use cases'!$C$3:$C$114,$B36,'1 · Use cases'!$J$3:$J$114,F$24)</f>
        <v>0</v>
      </c>
      <c r="G36" s="15" t="n">
        <f aca="false">COUNTIFS('1 · Use cases'!$C$3:$C$114,$B36,'1 · Use cases'!$J$3:$J$114,G$24)</f>
        <v>0</v>
      </c>
      <c r="H36" s="15" t="n">
        <f aca="false">COUNTIFS('1 · Use cases'!$C$3:$C$114,$B36,'1 · Use cases'!$J$3:$J$114,H$24)</f>
        <v>0</v>
      </c>
      <c r="I36" s="9" t="n">
        <f aca="false">SUM(C36:H36)</f>
        <v>6</v>
      </c>
    </row>
    <row r="37" customFormat="false" ht="15" hidden="false" customHeight="false" outlineLevel="0" collapsed="false">
      <c r="B37" s="3" t="s">
        <v>266</v>
      </c>
      <c r="C37" s="15" t="n">
        <f aca="false">COUNTIFS('1 · Use cases'!$C$3:$C$114,$B37,'1 · Use cases'!$J$3:$J$114,C$24)</f>
        <v>6</v>
      </c>
      <c r="D37" s="15" t="n">
        <f aca="false">COUNTIFS('1 · Use cases'!$C$3:$C$114,$B37,'1 · Use cases'!$J$3:$J$114,D$24)</f>
        <v>2</v>
      </c>
      <c r="E37" s="15" t="n">
        <f aca="false">COUNTIFS('1 · Use cases'!$C$3:$C$114,$B37,'1 · Use cases'!$J$3:$J$114,E$24)</f>
        <v>0</v>
      </c>
      <c r="F37" s="15" t="n">
        <f aca="false">COUNTIFS('1 · Use cases'!$C$3:$C$114,$B37,'1 · Use cases'!$J$3:$J$114,F$24)</f>
        <v>1</v>
      </c>
      <c r="G37" s="15" t="n">
        <f aca="false">COUNTIFS('1 · Use cases'!$C$3:$C$114,$B37,'1 · Use cases'!$J$3:$J$114,G$24)</f>
        <v>0</v>
      </c>
      <c r="H37" s="15" t="n">
        <f aca="false">COUNTIFS('1 · Use cases'!$C$3:$C$114,$B37,'1 · Use cases'!$J$3:$J$114,H$24)</f>
        <v>0</v>
      </c>
      <c r="I37" s="9" t="n">
        <f aca="false">SUM(C37:H37)</f>
        <v>9</v>
      </c>
    </row>
    <row r="38" customFormat="false" ht="15" hidden="false" customHeight="false" outlineLevel="0" collapsed="false">
      <c r="B38" s="3" t="s">
        <v>134</v>
      </c>
      <c r="C38" s="15" t="n">
        <f aca="false">COUNTIFS('1 · Use cases'!$C$3:$C$114,$B38,'1 · Use cases'!$J$3:$J$114,C$24)</f>
        <v>6</v>
      </c>
      <c r="D38" s="15" t="n">
        <f aca="false">COUNTIFS('1 · Use cases'!$C$3:$C$114,$B38,'1 · Use cases'!$J$3:$J$114,D$24)</f>
        <v>9</v>
      </c>
      <c r="E38" s="15" t="n">
        <f aca="false">COUNTIFS('1 · Use cases'!$C$3:$C$114,$B38,'1 · Use cases'!$J$3:$J$114,E$24)</f>
        <v>6</v>
      </c>
      <c r="F38" s="15" t="n">
        <f aca="false">COUNTIFS('1 · Use cases'!$C$3:$C$114,$B38,'1 · Use cases'!$J$3:$J$114,F$24)</f>
        <v>3</v>
      </c>
      <c r="G38" s="15" t="n">
        <f aca="false">COUNTIFS('1 · Use cases'!$C$3:$C$114,$B38,'1 · Use cases'!$J$3:$J$114,G$24)</f>
        <v>0</v>
      </c>
      <c r="H38" s="15" t="n">
        <f aca="false">COUNTIFS('1 · Use cases'!$C$3:$C$114,$B38,'1 · Use cases'!$J$3:$J$114,H$24)</f>
        <v>0</v>
      </c>
      <c r="I38" s="9" t="n">
        <f aca="false">SUM(C38:H38)</f>
        <v>24</v>
      </c>
    </row>
    <row r="39" customFormat="false" ht="15" hidden="false" customHeight="false" outlineLevel="0" collapsed="false">
      <c r="B39" s="9" t="s">
        <v>1019</v>
      </c>
      <c r="C39" s="9" t="n">
        <f aca="false">SUM(C25:C38)</f>
        <v>42</v>
      </c>
      <c r="D39" s="9" t="n">
        <f aca="false">SUM(D25:D38)</f>
        <v>25</v>
      </c>
      <c r="E39" s="9" t="n">
        <f aca="false">SUM(E25:E38)</f>
        <v>21</v>
      </c>
      <c r="F39" s="9" t="n">
        <f aca="false">SUM(F25:F38)</f>
        <v>10</v>
      </c>
      <c r="G39" s="9" t="n">
        <f aca="false">SUM(G25:G38)</f>
        <v>9</v>
      </c>
      <c r="H39" s="9" t="n">
        <f aca="false">SUM(H25:H38)</f>
        <v>5</v>
      </c>
      <c r="I39" s="9" t="n">
        <f aca="false">SUM(I25:I38)</f>
        <v>112</v>
      </c>
    </row>
    <row r="40" customFormat="false" ht="28.35" hidden="false" customHeight="false" outlineLevel="0" collapsed="false">
      <c r="B40" s="18" t="s">
        <v>1024</v>
      </c>
    </row>
    <row r="42" customFormat="false" ht="15" hidden="false" customHeight="false" outlineLevel="0" collapsed="false">
      <c r="B42" s="2" t="s">
        <v>1025</v>
      </c>
    </row>
    <row r="43" customFormat="false" ht="21.75" hidden="false" customHeight="true" outlineLevel="0" collapsed="false">
      <c r="B43" s="3" t="s">
        <v>1026</v>
      </c>
      <c r="C43" s="7" t="n">
        <f aca="false">COUNTA('1 · Use cases'!$A$3:$A$114)</f>
        <v>112</v>
      </c>
    </row>
    <row r="44" customFormat="false" ht="21.75" hidden="false" customHeight="true" outlineLevel="0" collapsed="false">
      <c r="B44" s="3" t="s">
        <v>1027</v>
      </c>
      <c r="C44" s="7" t="n">
        <f aca="false">COUNTIF('1 · Use cases'!$K$3:$K$114,"Yes")</f>
        <v>83</v>
      </c>
    </row>
    <row r="45" customFormat="false" ht="21.75" hidden="false" customHeight="true" outlineLevel="0" collapsed="false">
      <c r="B45" s="3" t="s">
        <v>1028</v>
      </c>
      <c r="C45" s="7" t="n">
        <f aca="false">COUNTIF('1 · Use cases'!$J$3:$J$114,"Better · new")+COUNTIF('1 · Use cases'!$J$3:$J$114,"Better")</f>
        <v>67</v>
      </c>
    </row>
    <row r="46" customFormat="false" ht="21.75" hidden="false" customHeight="true" outlineLevel="0" collapsed="false">
      <c r="B46" s="3" t="s">
        <v>1029</v>
      </c>
      <c r="C46" s="7" t="n">
        <f aca="false">COUNTIF('1 · Use cases'!$J$3:$J$114,"Better · new")</f>
        <v>42</v>
      </c>
    </row>
    <row r="47" customFormat="false" ht="21.75" hidden="false" customHeight="true" outlineLevel="0" collapsed="false">
      <c r="B47" s="3" t="s">
        <v>1030</v>
      </c>
      <c r="C47" s="7" t="n">
        <f aca="false">COUNTIF('1 · Use cases'!$J$3:$J$114,"WS 2.0 better")</f>
        <v>10</v>
      </c>
    </row>
    <row r="48" customFormat="false" ht="21.75" hidden="false" customHeight="true" outlineLevel="0" collapsed="false">
      <c r="B48" s="3" t="s">
        <v>1031</v>
      </c>
      <c r="C48" s="7" t="n">
        <f aca="false">COUNTIF('1 · Use cases'!$J$3:$J$114,"Gap on both")</f>
        <v>9</v>
      </c>
    </row>
    <row r="49" customFormat="false" ht="21.75" hidden="false" customHeight="true" outlineLevel="0" collapsed="false">
      <c r="B49" s="3" t="s">
        <v>1032</v>
      </c>
      <c r="C49" s="27" t="n">
        <f aca="false">IFERROR((COUNTIF('1 · Use cases'!$J$3:$J$114,"Better · new")+COUNTIF('1 · Use cases'!$J$3:$J$114,"Better"))/(COUNTA('1 · Use cases'!$A$3:$A$114)-COUNTIF('1 · Use cases'!$J$3:$J$114,"Out of scope")-COUNTIF('1 · Use cases'!$J$3:$J$114,"Gap on both")),"")</f>
        <v>0.683673469387755</v>
      </c>
    </row>
    <row r="50" customFormat="false" ht="21.75" hidden="false" customHeight="true" outlineLevel="0" collapsed="false">
      <c r="B50" s="3" t="s">
        <v>1033</v>
      </c>
      <c r="C50" s="7" t="n">
        <v>30</v>
      </c>
    </row>
    <row r="51" customFormat="false" ht="21.75" hidden="false" customHeight="true" outlineLevel="0" collapsed="false">
      <c r="B51" s="3" t="s">
        <v>1034</v>
      </c>
      <c r="C51" s="7" t="n">
        <v>10</v>
      </c>
    </row>
    <row r="52" customFormat="false" ht="21.75" hidden="false" customHeight="true" outlineLevel="0" collapsed="false">
      <c r="B52" s="3" t="s">
        <v>1035</v>
      </c>
      <c r="C52" s="7" t="n">
        <v>19</v>
      </c>
    </row>
    <row r="53" customFormat="false" ht="21.75" hidden="false" customHeight="true" outlineLevel="0" collapsed="false">
      <c r="B53" s="3" t="s">
        <v>1036</v>
      </c>
      <c r="C53" s="7" t="n">
        <v>18</v>
      </c>
    </row>
    <row r="54" customFormat="false" ht="21.75" hidden="false" customHeight="true" outlineLevel="0" collapsed="false">
      <c r="B54" s="3" t="s">
        <v>1037</v>
      </c>
      <c r="C54" s="7" t="n">
        <v>15</v>
      </c>
    </row>
    <row r="56" customFormat="false" ht="30" hidden="false" customHeight="true" outlineLevel="0" collapsed="false">
      <c r="B56" s="20" t="s">
        <v>1038</v>
      </c>
      <c r="C56" s="20"/>
      <c r="D56" s="20"/>
      <c r="E56" s="20"/>
      <c r="F56" s="20"/>
      <c r="G56" s="20"/>
      <c r="H56" s="20"/>
    </row>
  </sheetData>
  <mergeCells count="2">
    <mergeCell ref="A1:I1"/>
    <mergeCell ref="B56:H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2026-08-09T19:02:46Z</dcterms:created>
  <dc:creator>openpyxl</dc:creator>
  <dc:description/>
  <dc:language>en-US</dc:language>
  <cp:lastModifiedBy/>
  <dcterms:modified xsi:type="dcterms:W3CDTF">2026-08-09T19:02:46Z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